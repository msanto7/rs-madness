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msantoro\Downloads\"/>
    </mc:Choice>
  </mc:AlternateContent>
  <xr:revisionPtr revIDLastSave="0" documentId="13_ncr:1_{AFD47F78-4B7C-4073-BFF1-77478ABA8375}" xr6:coauthVersionLast="47" xr6:coauthVersionMax="47" xr10:uidLastSave="{00000000-0000-0000-0000-000000000000}"/>
  <bookViews>
    <workbookView xWindow="-120" yWindow="-16320" windowWidth="29040" windowHeight="15720" xr2:uid="{00000000-000D-0000-FFFF-FFFF00000000}"/>
  </bookViews>
  <sheets>
    <sheet name="Pool" sheetId="1" r:id="rId1"/>
    <sheet name="Blank" sheetId="2" r:id="rId2"/>
    <sheet name="Column Numbers" sheetId="3" r:id="rId3"/>
    <sheet name="Notes" sheetId="4"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5" i="2" l="1"/>
  <c r="C75" i="2"/>
  <c r="F73" i="2"/>
  <c r="G72" i="2"/>
  <c r="G71" i="2"/>
  <c r="G70" i="2"/>
  <c r="G69" i="2"/>
  <c r="G68" i="2"/>
  <c r="G67" i="2"/>
  <c r="G66" i="2"/>
  <c r="G65" i="2"/>
  <c r="G64" i="2"/>
  <c r="G63" i="2"/>
  <c r="G62" i="2"/>
  <c r="G61" i="2"/>
  <c r="G60" i="2"/>
  <c r="G59" i="2"/>
  <c r="G58" i="2"/>
  <c r="G57" i="2"/>
  <c r="G73" i="2" s="1"/>
  <c r="F55" i="2"/>
  <c r="G54" i="2"/>
  <c r="G53" i="2"/>
  <c r="G52" i="2"/>
  <c r="G51" i="2"/>
  <c r="G50" i="2"/>
  <c r="G49" i="2"/>
  <c r="G48" i="2"/>
  <c r="G47" i="2"/>
  <c r="G46" i="2"/>
  <c r="G45" i="2"/>
  <c r="G44" i="2"/>
  <c r="G43" i="2"/>
  <c r="G42" i="2"/>
  <c r="G41" i="2"/>
  <c r="G40" i="2"/>
  <c r="G39" i="2"/>
  <c r="G55" i="2" s="1"/>
  <c r="F37" i="2"/>
  <c r="G36" i="2"/>
  <c r="G35" i="2"/>
  <c r="G34" i="2"/>
  <c r="G33" i="2"/>
  <c r="G32" i="2"/>
  <c r="G31" i="2"/>
  <c r="G30" i="2"/>
  <c r="G29" i="2"/>
  <c r="G28" i="2"/>
  <c r="G27" i="2"/>
  <c r="G26" i="2"/>
  <c r="G25" i="2"/>
  <c r="G24" i="2"/>
  <c r="G23" i="2"/>
  <c r="G22" i="2"/>
  <c r="G21" i="2"/>
  <c r="G37" i="2" s="1"/>
  <c r="F19" i="2"/>
  <c r="F75" i="2" s="1"/>
  <c r="G18" i="2"/>
  <c r="G17" i="2"/>
  <c r="G16" i="2"/>
  <c r="G15" i="2"/>
  <c r="G14" i="2"/>
  <c r="G13" i="2"/>
  <c r="G12" i="2"/>
  <c r="G11" i="2"/>
  <c r="G10" i="2"/>
  <c r="G9" i="2"/>
  <c r="G8" i="2"/>
  <c r="G7" i="2"/>
  <c r="G6" i="2"/>
  <c r="G5" i="2"/>
  <c r="G4" i="2"/>
  <c r="G3" i="2"/>
  <c r="G19" i="2" s="1"/>
  <c r="G75" i="2" s="1"/>
  <c r="AJ158" i="1"/>
  <c r="AJ156" i="1"/>
  <c r="BL155" i="1"/>
  <c r="BJ155" i="1"/>
  <c r="BH155" i="1"/>
  <c r="BF155" i="1"/>
  <c r="BD155" i="1"/>
  <c r="BB155" i="1"/>
  <c r="AJ155" i="1"/>
  <c r="BL154" i="1"/>
  <c r="BJ154" i="1"/>
  <c r="BH154" i="1"/>
  <c r="BF154" i="1"/>
  <c r="BD154" i="1"/>
  <c r="BB154" i="1"/>
  <c r="AJ154" i="1"/>
  <c r="BL153" i="1"/>
  <c r="BJ153" i="1"/>
  <c r="BH153" i="1"/>
  <c r="BF153" i="1"/>
  <c r="BD153" i="1"/>
  <c r="BB153" i="1"/>
  <c r="AJ153" i="1"/>
  <c r="BL152" i="1"/>
  <c r="BJ152" i="1"/>
  <c r="BH152" i="1"/>
  <c r="BF152" i="1"/>
  <c r="BD152" i="1"/>
  <c r="BB152" i="1"/>
  <c r="AJ152" i="1"/>
  <c r="BL151" i="1"/>
  <c r="BJ151" i="1"/>
  <c r="BH151" i="1"/>
  <c r="BF151" i="1"/>
  <c r="BD151" i="1"/>
  <c r="BB151" i="1"/>
  <c r="AJ151" i="1"/>
  <c r="BL150" i="1"/>
  <c r="BJ150" i="1"/>
  <c r="BH150" i="1"/>
  <c r="BF150" i="1"/>
  <c r="BD150" i="1"/>
  <c r="BB150" i="1"/>
  <c r="AJ150" i="1"/>
  <c r="BL149" i="1"/>
  <c r="BJ149" i="1"/>
  <c r="BH149" i="1"/>
  <c r="BF149" i="1"/>
  <c r="BD149" i="1"/>
  <c r="BB149" i="1"/>
  <c r="AJ149" i="1"/>
  <c r="BL148" i="1"/>
  <c r="BJ148" i="1"/>
  <c r="BH148" i="1"/>
  <c r="BF148" i="1"/>
  <c r="BD148" i="1"/>
  <c r="BB148" i="1"/>
  <c r="AJ148" i="1"/>
  <c r="BL147" i="1"/>
  <c r="BJ147" i="1"/>
  <c r="BH147" i="1"/>
  <c r="BF147" i="1"/>
  <c r="BD147" i="1"/>
  <c r="BB147" i="1"/>
  <c r="AJ147" i="1"/>
  <c r="BL146" i="1"/>
  <c r="BJ146" i="1"/>
  <c r="BH146" i="1"/>
  <c r="BF146" i="1"/>
  <c r="BD146" i="1"/>
  <c r="BB146" i="1"/>
  <c r="AJ146" i="1"/>
  <c r="BL145" i="1"/>
  <c r="BJ145" i="1"/>
  <c r="BH145" i="1"/>
  <c r="BF145" i="1"/>
  <c r="BD145" i="1"/>
  <c r="BB145" i="1"/>
  <c r="AJ145" i="1"/>
  <c r="BL144" i="1"/>
  <c r="BJ144" i="1"/>
  <c r="BH144" i="1"/>
  <c r="BF144" i="1"/>
  <c r="BD144" i="1"/>
  <c r="BB144" i="1"/>
  <c r="AJ144" i="1"/>
  <c r="BL143" i="1"/>
  <c r="BJ143" i="1"/>
  <c r="BH143" i="1"/>
  <c r="BF143" i="1"/>
  <c r="BD143" i="1"/>
  <c r="BB143" i="1"/>
  <c r="AJ143" i="1"/>
  <c r="BL142" i="1"/>
  <c r="BJ142" i="1"/>
  <c r="BH142" i="1"/>
  <c r="BF142" i="1"/>
  <c r="BD142" i="1"/>
  <c r="BB142" i="1"/>
  <c r="AJ142" i="1"/>
  <c r="BL141" i="1"/>
  <c r="BJ141" i="1"/>
  <c r="BH141" i="1"/>
  <c r="BF141" i="1"/>
  <c r="BD141" i="1"/>
  <c r="BB141" i="1"/>
  <c r="AJ141" i="1"/>
  <c r="BL140" i="1"/>
  <c r="BJ140" i="1"/>
  <c r="BH140" i="1"/>
  <c r="BF140" i="1"/>
  <c r="BD140" i="1"/>
  <c r="BB140" i="1"/>
  <c r="AJ140" i="1"/>
  <c r="AJ138" i="1"/>
  <c r="BL137" i="1"/>
  <c r="BJ137" i="1"/>
  <c r="BH137" i="1"/>
  <c r="BF137" i="1"/>
  <c r="BD137" i="1"/>
  <c r="BB137" i="1"/>
  <c r="AJ137" i="1"/>
  <c r="BL136" i="1"/>
  <c r="BJ136" i="1"/>
  <c r="BH136" i="1"/>
  <c r="BF136" i="1"/>
  <c r="BD136" i="1"/>
  <c r="BB136" i="1"/>
  <c r="AJ136" i="1"/>
  <c r="BL135" i="1"/>
  <c r="BJ135" i="1"/>
  <c r="BH135" i="1"/>
  <c r="BF135" i="1"/>
  <c r="BD135" i="1"/>
  <c r="BB135" i="1"/>
  <c r="AJ135" i="1"/>
  <c r="BL134" i="1"/>
  <c r="BJ134" i="1"/>
  <c r="BH134" i="1"/>
  <c r="BF134" i="1"/>
  <c r="BD134" i="1"/>
  <c r="BB134" i="1"/>
  <c r="AJ134" i="1"/>
  <c r="BL133" i="1"/>
  <c r="BJ133" i="1"/>
  <c r="BH133" i="1"/>
  <c r="BF133" i="1"/>
  <c r="BD133" i="1"/>
  <c r="BB133" i="1"/>
  <c r="AJ133" i="1"/>
  <c r="BL132" i="1"/>
  <c r="BJ132" i="1"/>
  <c r="BH132" i="1"/>
  <c r="BF132" i="1"/>
  <c r="BD132" i="1"/>
  <c r="BB132" i="1"/>
  <c r="AJ132" i="1"/>
  <c r="BL131" i="1"/>
  <c r="BJ131" i="1"/>
  <c r="BH131" i="1"/>
  <c r="BF131" i="1"/>
  <c r="BD131" i="1"/>
  <c r="BB131" i="1"/>
  <c r="AJ131" i="1"/>
  <c r="BL130" i="1"/>
  <c r="BJ130" i="1"/>
  <c r="BH130" i="1"/>
  <c r="BF130" i="1"/>
  <c r="BD130" i="1"/>
  <c r="BB130" i="1"/>
  <c r="AJ130" i="1"/>
  <c r="BL129" i="1"/>
  <c r="BJ129" i="1"/>
  <c r="BH129" i="1"/>
  <c r="BF129" i="1"/>
  <c r="BD129" i="1"/>
  <c r="BB129" i="1"/>
  <c r="AJ129" i="1"/>
  <c r="BL128" i="1"/>
  <c r="BJ128" i="1"/>
  <c r="BH128" i="1"/>
  <c r="BF128" i="1"/>
  <c r="BD128" i="1"/>
  <c r="BB128" i="1"/>
  <c r="AJ128" i="1"/>
  <c r="BL127" i="1"/>
  <c r="BJ127" i="1"/>
  <c r="BH127" i="1"/>
  <c r="BF127" i="1"/>
  <c r="BD127" i="1"/>
  <c r="BB127" i="1"/>
  <c r="AJ127" i="1"/>
  <c r="BL126" i="1"/>
  <c r="BJ126" i="1"/>
  <c r="BH126" i="1"/>
  <c r="BF126" i="1"/>
  <c r="BD126" i="1"/>
  <c r="BB126" i="1"/>
  <c r="AJ126" i="1"/>
  <c r="BL125" i="1"/>
  <c r="BJ125" i="1"/>
  <c r="BH125" i="1"/>
  <c r="BF125" i="1"/>
  <c r="BD125" i="1"/>
  <c r="BB125" i="1"/>
  <c r="AJ125" i="1"/>
  <c r="BL124" i="1"/>
  <c r="BJ124" i="1"/>
  <c r="BH124" i="1"/>
  <c r="BF124" i="1"/>
  <c r="BD124" i="1"/>
  <c r="BB124" i="1"/>
  <c r="AJ124" i="1"/>
  <c r="BL123" i="1"/>
  <c r="BJ123" i="1"/>
  <c r="BH123" i="1"/>
  <c r="BF123" i="1"/>
  <c r="BD123" i="1"/>
  <c r="BB123" i="1"/>
  <c r="AJ123" i="1"/>
  <c r="BL122" i="1"/>
  <c r="BJ122" i="1"/>
  <c r="BH122" i="1"/>
  <c r="BF122" i="1"/>
  <c r="BD122" i="1"/>
  <c r="BB122" i="1"/>
  <c r="AJ122" i="1"/>
  <c r="AJ120" i="1"/>
  <c r="BL119" i="1"/>
  <c r="BJ119" i="1"/>
  <c r="BH119" i="1"/>
  <c r="BF119" i="1"/>
  <c r="BD119" i="1"/>
  <c r="BB119" i="1"/>
  <c r="AJ119" i="1"/>
  <c r="BL118" i="1"/>
  <c r="BJ118" i="1"/>
  <c r="BH118" i="1"/>
  <c r="BF118" i="1"/>
  <c r="BD118" i="1"/>
  <c r="BB118" i="1"/>
  <c r="AJ118" i="1"/>
  <c r="BL117" i="1"/>
  <c r="BJ117" i="1"/>
  <c r="BH117" i="1"/>
  <c r="BF117" i="1"/>
  <c r="BD117" i="1"/>
  <c r="BB117" i="1"/>
  <c r="AJ117" i="1"/>
  <c r="BL116" i="1"/>
  <c r="BJ116" i="1"/>
  <c r="BH116" i="1"/>
  <c r="BF116" i="1"/>
  <c r="BD116" i="1"/>
  <c r="BB116" i="1"/>
  <c r="AJ116" i="1"/>
  <c r="BL115" i="1"/>
  <c r="BJ115" i="1"/>
  <c r="BH115" i="1"/>
  <c r="BF115" i="1"/>
  <c r="BD115" i="1"/>
  <c r="BB115" i="1"/>
  <c r="AJ115" i="1"/>
  <c r="BL114" i="1"/>
  <c r="BJ114" i="1"/>
  <c r="BH114" i="1"/>
  <c r="BF114" i="1"/>
  <c r="BD114" i="1"/>
  <c r="BB114" i="1"/>
  <c r="AJ114" i="1"/>
  <c r="BL113" i="1"/>
  <c r="BJ113" i="1"/>
  <c r="BH113" i="1"/>
  <c r="BF113" i="1"/>
  <c r="BD113" i="1"/>
  <c r="BB113" i="1"/>
  <c r="AJ113" i="1"/>
  <c r="BL112" i="1"/>
  <c r="BJ112" i="1"/>
  <c r="BH112" i="1"/>
  <c r="BF112" i="1"/>
  <c r="BD112" i="1"/>
  <c r="BB112" i="1"/>
  <c r="AJ112" i="1"/>
  <c r="BL111" i="1"/>
  <c r="BJ111" i="1"/>
  <c r="BH111" i="1"/>
  <c r="BF111" i="1"/>
  <c r="BD111" i="1"/>
  <c r="BB111" i="1"/>
  <c r="AJ111" i="1"/>
  <c r="B111" i="1"/>
  <c r="BL110" i="1"/>
  <c r="BJ110" i="1"/>
  <c r="BH110" i="1"/>
  <c r="BF110" i="1"/>
  <c r="BD110" i="1"/>
  <c r="BB110" i="1"/>
  <c r="AJ110" i="1"/>
  <c r="B110" i="1"/>
  <c r="BL109" i="1"/>
  <c r="BJ109" i="1"/>
  <c r="BH109" i="1"/>
  <c r="BF109" i="1"/>
  <c r="BD109" i="1"/>
  <c r="BB109" i="1"/>
  <c r="AJ109" i="1"/>
  <c r="B109" i="1"/>
  <c r="BL108" i="1"/>
  <c r="BJ108" i="1"/>
  <c r="BH108" i="1"/>
  <c r="BF108" i="1"/>
  <c r="BD108" i="1"/>
  <c r="BB108" i="1"/>
  <c r="AJ108" i="1"/>
  <c r="B108" i="1"/>
  <c r="BL107" i="1"/>
  <c r="BJ107" i="1"/>
  <c r="BH107" i="1"/>
  <c r="BF107" i="1"/>
  <c r="BD107" i="1"/>
  <c r="BB107" i="1"/>
  <c r="AJ107" i="1"/>
  <c r="B107" i="1"/>
  <c r="BL106" i="1"/>
  <c r="BJ106" i="1"/>
  <c r="BH106" i="1"/>
  <c r="BF106" i="1"/>
  <c r="BD106" i="1"/>
  <c r="BB106" i="1"/>
  <c r="AJ106" i="1"/>
  <c r="B106" i="1"/>
  <c r="BL105" i="1"/>
  <c r="BJ105" i="1"/>
  <c r="BH105" i="1"/>
  <c r="BF105" i="1"/>
  <c r="BD105" i="1"/>
  <c r="BB105" i="1"/>
  <c r="AJ105" i="1"/>
  <c r="B105" i="1"/>
  <c r="BL104" i="1"/>
  <c r="BJ104" i="1"/>
  <c r="BH104" i="1"/>
  <c r="BF104" i="1"/>
  <c r="BD104" i="1"/>
  <c r="BB104" i="1"/>
  <c r="AJ104" i="1"/>
  <c r="B104" i="1"/>
  <c r="B103" i="1"/>
  <c r="AJ102" i="1"/>
  <c r="B102" i="1"/>
  <c r="BL101" i="1"/>
  <c r="BJ101" i="1"/>
  <c r="BH101" i="1"/>
  <c r="BF101" i="1"/>
  <c r="BD101" i="1"/>
  <c r="BB101" i="1"/>
  <c r="AJ101" i="1"/>
  <c r="B101" i="1"/>
  <c r="BL100" i="1"/>
  <c r="BJ100" i="1"/>
  <c r="BH100" i="1"/>
  <c r="BF100" i="1"/>
  <c r="BD100" i="1"/>
  <c r="BB100" i="1"/>
  <c r="AJ100" i="1"/>
  <c r="B100" i="1"/>
  <c r="BL99" i="1"/>
  <c r="BJ99" i="1"/>
  <c r="BH99" i="1"/>
  <c r="BF99" i="1"/>
  <c r="BD99" i="1"/>
  <c r="BB99" i="1"/>
  <c r="AJ99" i="1"/>
  <c r="B99" i="1"/>
  <c r="BL98" i="1"/>
  <c r="BJ98" i="1"/>
  <c r="BH98" i="1"/>
  <c r="BF98" i="1"/>
  <c r="BD98" i="1"/>
  <c r="BB98" i="1"/>
  <c r="AJ98" i="1"/>
  <c r="B98" i="1"/>
  <c r="BL97" i="1"/>
  <c r="BJ97" i="1"/>
  <c r="BH97" i="1"/>
  <c r="BF97" i="1"/>
  <c r="BD97" i="1"/>
  <c r="BB97" i="1"/>
  <c r="AJ97" i="1"/>
  <c r="B97" i="1"/>
  <c r="BL96" i="1"/>
  <c r="BJ96" i="1"/>
  <c r="BH96" i="1"/>
  <c r="BF96" i="1"/>
  <c r="BD96" i="1"/>
  <c r="BB96" i="1"/>
  <c r="AJ96" i="1"/>
  <c r="B96" i="1"/>
  <c r="BL95" i="1"/>
  <c r="BJ95" i="1"/>
  <c r="BH95" i="1"/>
  <c r="BF95" i="1"/>
  <c r="BD95" i="1"/>
  <c r="BB95" i="1"/>
  <c r="AJ95" i="1"/>
  <c r="B95" i="1"/>
  <c r="BL94" i="1"/>
  <c r="BJ94" i="1"/>
  <c r="BH94" i="1"/>
  <c r="BF94" i="1"/>
  <c r="BD94" i="1"/>
  <c r="BB94" i="1"/>
  <c r="AJ94" i="1"/>
  <c r="B94" i="1"/>
  <c r="BL93" i="1"/>
  <c r="BJ93" i="1"/>
  <c r="BH93" i="1"/>
  <c r="BF93" i="1"/>
  <c r="BD93" i="1"/>
  <c r="BB93" i="1"/>
  <c r="AJ93" i="1"/>
  <c r="B93" i="1"/>
  <c r="BL92" i="1"/>
  <c r="BJ92" i="1"/>
  <c r="BH92" i="1"/>
  <c r="BF92" i="1"/>
  <c r="BD92" i="1"/>
  <c r="BB92" i="1"/>
  <c r="AJ92" i="1"/>
  <c r="B92" i="1"/>
  <c r="BL91" i="1"/>
  <c r="BJ91" i="1"/>
  <c r="BH91" i="1"/>
  <c r="BF91" i="1"/>
  <c r="BD91" i="1"/>
  <c r="BB91" i="1"/>
  <c r="AJ91" i="1"/>
  <c r="B91" i="1"/>
  <c r="BL90" i="1"/>
  <c r="BJ90" i="1"/>
  <c r="BH90" i="1"/>
  <c r="BF90" i="1"/>
  <c r="BD90" i="1"/>
  <c r="BB90" i="1"/>
  <c r="AJ90" i="1"/>
  <c r="B90" i="1"/>
  <c r="BL89" i="1"/>
  <c r="BJ89" i="1"/>
  <c r="BH89" i="1"/>
  <c r="BF89" i="1"/>
  <c r="BD89" i="1"/>
  <c r="BB89" i="1"/>
  <c r="AJ89" i="1"/>
  <c r="B89" i="1"/>
  <c r="BL88" i="1"/>
  <c r="BJ88" i="1"/>
  <c r="BH88" i="1"/>
  <c r="BF88" i="1"/>
  <c r="BD88" i="1"/>
  <c r="BB88" i="1"/>
  <c r="AJ88" i="1"/>
  <c r="B88" i="1"/>
  <c r="BL87" i="1"/>
  <c r="BJ87" i="1"/>
  <c r="BH87" i="1"/>
  <c r="BF87" i="1"/>
  <c r="BD87" i="1"/>
  <c r="BB87" i="1"/>
  <c r="AJ87" i="1"/>
  <c r="B87" i="1"/>
  <c r="BL86" i="1"/>
  <c r="BJ86" i="1"/>
  <c r="BH86" i="1"/>
  <c r="BF86" i="1"/>
  <c r="BD86" i="1"/>
  <c r="BB86" i="1"/>
  <c r="AJ86" i="1"/>
  <c r="B86" i="1"/>
  <c r="B85" i="1"/>
  <c r="B84" i="1"/>
  <c r="B83" i="1"/>
  <c r="B82" i="1"/>
  <c r="DS78" i="1"/>
  <c r="DO78" i="1"/>
  <c r="DK78" i="1"/>
  <c r="DG78" i="1"/>
  <c r="DC78" i="1"/>
  <c r="CY78" i="1"/>
  <c r="CU78" i="1"/>
  <c r="CQ78" i="1"/>
  <c r="CM78" i="1"/>
  <c r="CI78" i="1"/>
  <c r="CE78" i="1"/>
  <c r="CA78" i="1"/>
  <c r="BW78" i="1"/>
  <c r="BS78" i="1"/>
  <c r="BO78" i="1"/>
  <c r="BK78" i="1"/>
  <c r="BG78" i="1"/>
  <c r="BC78" i="1"/>
  <c r="AY78" i="1"/>
  <c r="AU78" i="1"/>
  <c r="AQ78" i="1"/>
  <c r="AM78" i="1"/>
  <c r="AI78" i="1"/>
  <c r="AE78" i="1"/>
  <c r="AA78" i="1"/>
  <c r="W78" i="1"/>
  <c r="S78" i="1"/>
  <c r="O78" i="1"/>
  <c r="K78" i="1"/>
  <c r="G78" i="1"/>
  <c r="BR75" i="1"/>
  <c r="D75" i="1"/>
  <c r="C75" i="1"/>
  <c r="DR73" i="1"/>
  <c r="DR75" i="1" s="1"/>
  <c r="DN73" i="1"/>
  <c r="DN75" i="1" s="1"/>
  <c r="DJ73" i="1"/>
  <c r="DJ75" i="1" s="1"/>
  <c r="DF73" i="1"/>
  <c r="DB73" i="1"/>
  <c r="CX73" i="1"/>
  <c r="CT73" i="1"/>
  <c r="CP73" i="1"/>
  <c r="CP75" i="1" s="1"/>
  <c r="CL73" i="1"/>
  <c r="CL75" i="1" s="1"/>
  <c r="CH73" i="1"/>
  <c r="CH75" i="1" s="1"/>
  <c r="CD73" i="1"/>
  <c r="CD75" i="1" s="1"/>
  <c r="BZ73" i="1"/>
  <c r="BZ75" i="1" s="1"/>
  <c r="BV73" i="1"/>
  <c r="BV75" i="1" s="1"/>
  <c r="BT73" i="1"/>
  <c r="BN73" i="1"/>
  <c r="BN75" i="1" s="1"/>
  <c r="BJ73" i="1"/>
  <c r="BJ75" i="1" s="1"/>
  <c r="BF73" i="1"/>
  <c r="BF75" i="1" s="1"/>
  <c r="BB73" i="1"/>
  <c r="BB75" i="1" s="1"/>
  <c r="AX73" i="1"/>
  <c r="AX75" i="1" s="1"/>
  <c r="AT73" i="1"/>
  <c r="AT75" i="1" s="1"/>
  <c r="AP73" i="1"/>
  <c r="AP75" i="1" s="1"/>
  <c r="AL73" i="1"/>
  <c r="AL75" i="1" s="1"/>
  <c r="AI73" i="1"/>
  <c r="AH73" i="1"/>
  <c r="AH75" i="1" s="1"/>
  <c r="AD73" i="1"/>
  <c r="AD75" i="1" s="1"/>
  <c r="Z73" i="1"/>
  <c r="Z75" i="1" s="1"/>
  <c r="V73" i="1"/>
  <c r="V75" i="1" s="1"/>
  <c r="R73" i="1"/>
  <c r="R75" i="1" s="1"/>
  <c r="N73" i="1"/>
  <c r="N75" i="1" s="1"/>
  <c r="J73" i="1"/>
  <c r="J75" i="1" s="1"/>
  <c r="F73" i="1"/>
  <c r="F75" i="1" s="1"/>
  <c r="EA72" i="1"/>
  <c r="DZ72" i="1"/>
  <c r="DX72" i="1"/>
  <c r="DT72" i="1"/>
  <c r="DS72" i="1"/>
  <c r="DP72" i="1"/>
  <c r="DO72" i="1"/>
  <c r="DL72" i="1"/>
  <c r="DK72" i="1"/>
  <c r="DH72" i="1"/>
  <c r="DG72" i="1"/>
  <c r="DD72" i="1"/>
  <c r="DC72" i="1"/>
  <c r="CZ72" i="1"/>
  <c r="CY72" i="1"/>
  <c r="CV72" i="1"/>
  <c r="CU72" i="1"/>
  <c r="CR72" i="1"/>
  <c r="CQ72" i="1"/>
  <c r="CQ73" i="1" s="1"/>
  <c r="CN72" i="1"/>
  <c r="CN73" i="1" s="1"/>
  <c r="CM72" i="1"/>
  <c r="CM73" i="1" s="1"/>
  <c r="CJ72" i="1"/>
  <c r="CJ73" i="1" s="1"/>
  <c r="CI72" i="1"/>
  <c r="CI73" i="1" s="1"/>
  <c r="CF72" i="1"/>
  <c r="CF73" i="1" s="1"/>
  <c r="CE72" i="1"/>
  <c r="CE73" i="1" s="1"/>
  <c r="CB72" i="1"/>
  <c r="CB73" i="1" s="1"/>
  <c r="CA72" i="1"/>
  <c r="CA73" i="1" s="1"/>
  <c r="BX72" i="1"/>
  <c r="BX73" i="1" s="1"/>
  <c r="BW72" i="1"/>
  <c r="BW73" i="1" s="1"/>
  <c r="BT72" i="1"/>
  <c r="BS72" i="1"/>
  <c r="BS73" i="1" s="1"/>
  <c r="BP72" i="1"/>
  <c r="BP73" i="1" s="1"/>
  <c r="BO72" i="1"/>
  <c r="BO73" i="1" s="1"/>
  <c r="BL72" i="1"/>
  <c r="BL73" i="1" s="1"/>
  <c r="BK72" i="1"/>
  <c r="BK73" i="1" s="1"/>
  <c r="BH72" i="1"/>
  <c r="BH73" i="1" s="1"/>
  <c r="BG72" i="1"/>
  <c r="BG73" i="1" s="1"/>
  <c r="BD72" i="1"/>
  <c r="BD73" i="1" s="1"/>
  <c r="BC72" i="1"/>
  <c r="BC73" i="1" s="1"/>
  <c r="AZ72" i="1"/>
  <c r="AZ73" i="1" s="1"/>
  <c r="AY72" i="1"/>
  <c r="AY73" i="1" s="1"/>
  <c r="AV72" i="1"/>
  <c r="AV73" i="1" s="1"/>
  <c r="AU72" i="1"/>
  <c r="AU73" i="1" s="1"/>
  <c r="AR72" i="1"/>
  <c r="AR73" i="1" s="1"/>
  <c r="AQ72" i="1"/>
  <c r="AQ73" i="1" s="1"/>
  <c r="AN72" i="1"/>
  <c r="AN73" i="1" s="1"/>
  <c r="AM72" i="1"/>
  <c r="AM73" i="1" s="1"/>
  <c r="AJ72" i="1"/>
  <c r="AJ73" i="1" s="1"/>
  <c r="AI72" i="1"/>
  <c r="AF72" i="1"/>
  <c r="AF73" i="1" s="1"/>
  <c r="AE72" i="1"/>
  <c r="AE73" i="1" s="1"/>
  <c r="AB72" i="1"/>
  <c r="AB73" i="1" s="1"/>
  <c r="AA72" i="1"/>
  <c r="AA73" i="1" s="1"/>
  <c r="X72" i="1"/>
  <c r="X73" i="1" s="1"/>
  <c r="W72" i="1"/>
  <c r="W73" i="1" s="1"/>
  <c r="T72" i="1"/>
  <c r="T73" i="1" s="1"/>
  <c r="S72" i="1"/>
  <c r="S73" i="1" s="1"/>
  <c r="P72" i="1"/>
  <c r="P73" i="1" s="1"/>
  <c r="O72" i="1"/>
  <c r="O73" i="1" s="1"/>
  <c r="L72" i="1"/>
  <c r="L73" i="1" s="1"/>
  <c r="K72" i="1"/>
  <c r="K73" i="1" s="1"/>
  <c r="H72" i="1"/>
  <c r="H73" i="1" s="1"/>
  <c r="G72" i="1"/>
  <c r="G73" i="1" s="1"/>
  <c r="EA71" i="1"/>
  <c r="DZ71" i="1"/>
  <c r="DX71" i="1"/>
  <c r="DX75" i="1" s="1"/>
  <c r="F113" i="1" s="1"/>
  <c r="DT71" i="1"/>
  <c r="DT73" i="1" s="1"/>
  <c r="DS71" i="1"/>
  <c r="DS73" i="1" s="1"/>
  <c r="DP71" i="1"/>
  <c r="DP73" i="1" s="1"/>
  <c r="DO71" i="1"/>
  <c r="DO73" i="1" s="1"/>
  <c r="DL71" i="1"/>
  <c r="DL73" i="1" s="1"/>
  <c r="DK71" i="1"/>
  <c r="DK73" i="1" s="1"/>
  <c r="DH71" i="1"/>
  <c r="DG71" i="1"/>
  <c r="DD71" i="1"/>
  <c r="DC71" i="1"/>
  <c r="CZ71" i="1"/>
  <c r="CY71" i="1"/>
  <c r="CV71" i="1"/>
  <c r="CU71" i="1"/>
  <c r="CR71" i="1"/>
  <c r="CR73" i="1" s="1"/>
  <c r="CQ71" i="1"/>
  <c r="CN71" i="1"/>
  <c r="CM71" i="1"/>
  <c r="CJ71" i="1"/>
  <c r="CI71" i="1"/>
  <c r="CF71" i="1"/>
  <c r="CE71" i="1"/>
  <c r="CB71" i="1"/>
  <c r="CA71" i="1"/>
  <c r="BX71" i="1"/>
  <c r="BW71" i="1"/>
  <c r="BT71" i="1"/>
  <c r="BS71" i="1"/>
  <c r="BP71" i="1"/>
  <c r="BO71" i="1"/>
  <c r="BL71" i="1"/>
  <c r="BK71" i="1"/>
  <c r="BH71" i="1"/>
  <c r="BG71" i="1"/>
  <c r="BD71" i="1"/>
  <c r="BC71" i="1"/>
  <c r="AZ71" i="1"/>
  <c r="AY71" i="1"/>
  <c r="AV71" i="1"/>
  <c r="AU71" i="1"/>
  <c r="AR71" i="1"/>
  <c r="AQ71" i="1"/>
  <c r="AN71" i="1"/>
  <c r="AM71" i="1"/>
  <c r="AJ71" i="1"/>
  <c r="AI71" i="1"/>
  <c r="AF71" i="1"/>
  <c r="AE71" i="1"/>
  <c r="AB71" i="1"/>
  <c r="AA71" i="1"/>
  <c r="X71" i="1"/>
  <c r="W71" i="1"/>
  <c r="T71" i="1"/>
  <c r="S71" i="1"/>
  <c r="P71" i="1"/>
  <c r="O71" i="1"/>
  <c r="L71" i="1"/>
  <c r="K71" i="1"/>
  <c r="H71" i="1"/>
  <c r="G71" i="1"/>
  <c r="EA70" i="1"/>
  <c r="DZ70" i="1"/>
  <c r="DX70" i="1"/>
  <c r="DT70" i="1"/>
  <c r="DS70" i="1"/>
  <c r="DP70" i="1"/>
  <c r="DO70" i="1"/>
  <c r="DL70" i="1"/>
  <c r="DK70" i="1"/>
  <c r="DH70" i="1"/>
  <c r="DG70" i="1"/>
  <c r="DD70" i="1"/>
  <c r="DC70" i="1"/>
  <c r="CZ70" i="1"/>
  <c r="CY70" i="1"/>
  <c r="CV70" i="1"/>
  <c r="CU70" i="1"/>
  <c r="CR70" i="1"/>
  <c r="CQ70" i="1"/>
  <c r="CN70" i="1"/>
  <c r="CM70" i="1"/>
  <c r="CJ70" i="1"/>
  <c r="CI70" i="1"/>
  <c r="CF70" i="1"/>
  <c r="CE70" i="1"/>
  <c r="CB70" i="1"/>
  <c r="CA70" i="1"/>
  <c r="BX70" i="1"/>
  <c r="BW70" i="1"/>
  <c r="BT70" i="1"/>
  <c r="BS70" i="1"/>
  <c r="BP70" i="1"/>
  <c r="BO70" i="1"/>
  <c r="BL70" i="1"/>
  <c r="BK70" i="1"/>
  <c r="BH70" i="1"/>
  <c r="BG70" i="1"/>
  <c r="BD70" i="1"/>
  <c r="BC70" i="1"/>
  <c r="AZ70" i="1"/>
  <c r="AY70" i="1"/>
  <c r="AV70" i="1"/>
  <c r="AU70" i="1"/>
  <c r="AR70" i="1"/>
  <c r="AQ70" i="1"/>
  <c r="AN70" i="1"/>
  <c r="AM70" i="1"/>
  <c r="AJ70" i="1"/>
  <c r="AI70" i="1"/>
  <c r="AF70" i="1"/>
  <c r="AE70" i="1"/>
  <c r="AB70" i="1"/>
  <c r="AA70" i="1"/>
  <c r="X70" i="1"/>
  <c r="W70" i="1"/>
  <c r="T70" i="1"/>
  <c r="S70" i="1"/>
  <c r="P70" i="1"/>
  <c r="O70" i="1"/>
  <c r="L70" i="1"/>
  <c r="K70" i="1"/>
  <c r="H70" i="1"/>
  <c r="G70" i="1"/>
  <c r="EA69" i="1"/>
  <c r="DZ69" i="1"/>
  <c r="DX69" i="1"/>
  <c r="DT69" i="1"/>
  <c r="DS69" i="1"/>
  <c r="DP69" i="1"/>
  <c r="DO69" i="1"/>
  <c r="DL69" i="1"/>
  <c r="DK69" i="1"/>
  <c r="DH69" i="1"/>
  <c r="DG69" i="1"/>
  <c r="DD69" i="1"/>
  <c r="DC69" i="1"/>
  <c r="CZ69" i="1"/>
  <c r="CY69" i="1"/>
  <c r="CV69" i="1"/>
  <c r="CU69" i="1"/>
  <c r="CR69" i="1"/>
  <c r="CQ69" i="1"/>
  <c r="CN69" i="1"/>
  <c r="CM69" i="1"/>
  <c r="CJ69" i="1"/>
  <c r="CI69" i="1"/>
  <c r="CF69" i="1"/>
  <c r="CE69" i="1"/>
  <c r="CB69" i="1"/>
  <c r="CA69" i="1"/>
  <c r="BX69" i="1"/>
  <c r="BW69" i="1"/>
  <c r="BT69" i="1"/>
  <c r="BS69" i="1"/>
  <c r="BP69" i="1"/>
  <c r="BO69" i="1"/>
  <c r="BL69" i="1"/>
  <c r="BK69" i="1"/>
  <c r="BH69" i="1"/>
  <c r="BG69" i="1"/>
  <c r="BD69" i="1"/>
  <c r="BC69" i="1"/>
  <c r="AZ69" i="1"/>
  <c r="AY69" i="1"/>
  <c r="AV69" i="1"/>
  <c r="AU69" i="1"/>
  <c r="AR69" i="1"/>
  <c r="AQ69" i="1"/>
  <c r="AN69" i="1"/>
  <c r="AM69" i="1"/>
  <c r="AJ69" i="1"/>
  <c r="AI69" i="1"/>
  <c r="AF69" i="1"/>
  <c r="AE69" i="1"/>
  <c r="AB69" i="1"/>
  <c r="AA69" i="1"/>
  <c r="X69" i="1"/>
  <c r="W69" i="1"/>
  <c r="T69" i="1"/>
  <c r="S69" i="1"/>
  <c r="P69" i="1"/>
  <c r="O69" i="1"/>
  <c r="L69" i="1"/>
  <c r="K69" i="1"/>
  <c r="H69" i="1"/>
  <c r="G69" i="1"/>
  <c r="EA68" i="1"/>
  <c r="DZ68" i="1"/>
  <c r="DX68" i="1"/>
  <c r="DT68" i="1"/>
  <c r="DS68" i="1"/>
  <c r="DP68" i="1"/>
  <c r="DO68" i="1"/>
  <c r="DL68" i="1"/>
  <c r="DK68" i="1"/>
  <c r="DH68" i="1"/>
  <c r="DG68" i="1"/>
  <c r="DD68" i="1"/>
  <c r="DC68" i="1"/>
  <c r="CZ68" i="1"/>
  <c r="CY68" i="1"/>
  <c r="CV68" i="1"/>
  <c r="CU68" i="1"/>
  <c r="CR68" i="1"/>
  <c r="CQ68" i="1"/>
  <c r="CN68" i="1"/>
  <c r="CM68" i="1"/>
  <c r="CJ68" i="1"/>
  <c r="CI68" i="1"/>
  <c r="CF68" i="1"/>
  <c r="CE68" i="1"/>
  <c r="CB68" i="1"/>
  <c r="CA68" i="1"/>
  <c r="BX68" i="1"/>
  <c r="BW68" i="1"/>
  <c r="BT68" i="1"/>
  <c r="BS68" i="1"/>
  <c r="BP68" i="1"/>
  <c r="BO68" i="1"/>
  <c r="BL68" i="1"/>
  <c r="BK68" i="1"/>
  <c r="BH68" i="1"/>
  <c r="BG68" i="1"/>
  <c r="BD68" i="1"/>
  <c r="BC68" i="1"/>
  <c r="AZ68" i="1"/>
  <c r="AY68" i="1"/>
  <c r="AV68" i="1"/>
  <c r="AU68" i="1"/>
  <c r="AR68" i="1"/>
  <c r="AQ68" i="1"/>
  <c r="AN68" i="1"/>
  <c r="AM68" i="1"/>
  <c r="AJ68" i="1"/>
  <c r="AI68" i="1"/>
  <c r="AF68" i="1"/>
  <c r="AE68" i="1"/>
  <c r="AB68" i="1"/>
  <c r="AA68" i="1"/>
  <c r="X68" i="1"/>
  <c r="W68" i="1"/>
  <c r="T68" i="1"/>
  <c r="S68" i="1"/>
  <c r="P68" i="1"/>
  <c r="O68" i="1"/>
  <c r="L68" i="1"/>
  <c r="K68" i="1"/>
  <c r="H68" i="1"/>
  <c r="G68" i="1"/>
  <c r="EA67" i="1"/>
  <c r="DZ67" i="1"/>
  <c r="DX67" i="1"/>
  <c r="DT67" i="1"/>
  <c r="DS67" i="1"/>
  <c r="DP67" i="1"/>
  <c r="DO67" i="1"/>
  <c r="DL67" i="1"/>
  <c r="DK67" i="1"/>
  <c r="DH67" i="1"/>
  <c r="DG67" i="1"/>
  <c r="DD67" i="1"/>
  <c r="DC67" i="1"/>
  <c r="CZ67" i="1"/>
  <c r="CY67" i="1"/>
  <c r="CV67" i="1"/>
  <c r="CU67" i="1"/>
  <c r="CR67" i="1"/>
  <c r="CQ67" i="1"/>
  <c r="CN67" i="1"/>
  <c r="CM67" i="1"/>
  <c r="CJ67" i="1"/>
  <c r="CI67" i="1"/>
  <c r="CF67" i="1"/>
  <c r="CE67" i="1"/>
  <c r="CB67" i="1"/>
  <c r="CA67" i="1"/>
  <c r="BX67" i="1"/>
  <c r="BW67" i="1"/>
  <c r="BT67" i="1"/>
  <c r="BS67" i="1"/>
  <c r="BP67" i="1"/>
  <c r="BO67" i="1"/>
  <c r="BL67" i="1"/>
  <c r="BK67" i="1"/>
  <c r="BH67" i="1"/>
  <c r="BG67" i="1"/>
  <c r="BD67" i="1"/>
  <c r="BC67" i="1"/>
  <c r="AZ67" i="1"/>
  <c r="AY67" i="1"/>
  <c r="AV67" i="1"/>
  <c r="AU67" i="1"/>
  <c r="AR67" i="1"/>
  <c r="AQ67" i="1"/>
  <c r="AN67" i="1"/>
  <c r="AM67" i="1"/>
  <c r="AJ67" i="1"/>
  <c r="AI67" i="1"/>
  <c r="AF67" i="1"/>
  <c r="AE67" i="1"/>
  <c r="AB67" i="1"/>
  <c r="AA67" i="1"/>
  <c r="X67" i="1"/>
  <c r="W67" i="1"/>
  <c r="T67" i="1"/>
  <c r="S67" i="1"/>
  <c r="P67" i="1"/>
  <c r="O67" i="1"/>
  <c r="L67" i="1"/>
  <c r="K67" i="1"/>
  <c r="H67" i="1"/>
  <c r="G67" i="1"/>
  <c r="EA66" i="1"/>
  <c r="DZ66" i="1"/>
  <c r="DX66" i="1"/>
  <c r="DT66" i="1"/>
  <c r="DS66" i="1"/>
  <c r="DP66" i="1"/>
  <c r="DO66" i="1"/>
  <c r="DL66" i="1"/>
  <c r="DK66" i="1"/>
  <c r="DH66" i="1"/>
  <c r="DG66" i="1"/>
  <c r="DD66" i="1"/>
  <c r="DC66" i="1"/>
  <c r="CZ66" i="1"/>
  <c r="CY66" i="1"/>
  <c r="CV66" i="1"/>
  <c r="CU66" i="1"/>
  <c r="CR66" i="1"/>
  <c r="CQ66" i="1"/>
  <c r="CN66" i="1"/>
  <c r="CM66" i="1"/>
  <c r="CJ66" i="1"/>
  <c r="CI66" i="1"/>
  <c r="CF66" i="1"/>
  <c r="CE66" i="1"/>
  <c r="CB66" i="1"/>
  <c r="CA66" i="1"/>
  <c r="BX66" i="1"/>
  <c r="BW66" i="1"/>
  <c r="BT66" i="1"/>
  <c r="BS66" i="1"/>
  <c r="BP66" i="1"/>
  <c r="BO66" i="1"/>
  <c r="BL66" i="1"/>
  <c r="BK66" i="1"/>
  <c r="BH66" i="1"/>
  <c r="BG66" i="1"/>
  <c r="BD66" i="1"/>
  <c r="BC66" i="1"/>
  <c r="AZ66" i="1"/>
  <c r="AY66" i="1"/>
  <c r="AV66" i="1"/>
  <c r="AU66" i="1"/>
  <c r="AR66" i="1"/>
  <c r="AQ66" i="1"/>
  <c r="AN66" i="1"/>
  <c r="AM66" i="1"/>
  <c r="AJ66" i="1"/>
  <c r="AI66" i="1"/>
  <c r="AF66" i="1"/>
  <c r="AE66" i="1"/>
  <c r="AB66" i="1"/>
  <c r="AA66" i="1"/>
  <c r="X66" i="1"/>
  <c r="W66" i="1"/>
  <c r="T66" i="1"/>
  <c r="S66" i="1"/>
  <c r="P66" i="1"/>
  <c r="O66" i="1"/>
  <c r="L66" i="1"/>
  <c r="K66" i="1"/>
  <c r="H66" i="1"/>
  <c r="G66" i="1"/>
  <c r="EA65" i="1"/>
  <c r="DZ65" i="1"/>
  <c r="DX65" i="1"/>
  <c r="DT65" i="1"/>
  <c r="DS65" i="1"/>
  <c r="DP65" i="1"/>
  <c r="DO65" i="1"/>
  <c r="DL65" i="1"/>
  <c r="DK65" i="1"/>
  <c r="DH65" i="1"/>
  <c r="DG65" i="1"/>
  <c r="DD65" i="1"/>
  <c r="DC65" i="1"/>
  <c r="CZ65" i="1"/>
  <c r="CY65" i="1"/>
  <c r="CV65" i="1"/>
  <c r="CU65" i="1"/>
  <c r="CR65" i="1"/>
  <c r="CQ65" i="1"/>
  <c r="CN65" i="1"/>
  <c r="CM65" i="1"/>
  <c r="CJ65" i="1"/>
  <c r="CI65" i="1"/>
  <c r="CF65" i="1"/>
  <c r="CE65" i="1"/>
  <c r="CB65" i="1"/>
  <c r="CA65" i="1"/>
  <c r="BX65" i="1"/>
  <c r="BW65" i="1"/>
  <c r="BT65" i="1"/>
  <c r="BS65" i="1"/>
  <c r="BP65" i="1"/>
  <c r="BO65" i="1"/>
  <c r="BL65" i="1"/>
  <c r="BK65" i="1"/>
  <c r="BH65" i="1"/>
  <c r="BG65" i="1"/>
  <c r="BD65" i="1"/>
  <c r="BC65" i="1"/>
  <c r="AZ65" i="1"/>
  <c r="AY65" i="1"/>
  <c r="AV65" i="1"/>
  <c r="AU65" i="1"/>
  <c r="AR65" i="1"/>
  <c r="AQ65" i="1"/>
  <c r="AN65" i="1"/>
  <c r="AM65" i="1"/>
  <c r="AJ65" i="1"/>
  <c r="AI65" i="1"/>
  <c r="AF65" i="1"/>
  <c r="AE65" i="1"/>
  <c r="AB65" i="1"/>
  <c r="AA65" i="1"/>
  <c r="X65" i="1"/>
  <c r="W65" i="1"/>
  <c r="T65" i="1"/>
  <c r="S65" i="1"/>
  <c r="P65" i="1"/>
  <c r="O65" i="1"/>
  <c r="L65" i="1"/>
  <c r="K65" i="1"/>
  <c r="H65" i="1"/>
  <c r="G65" i="1"/>
  <c r="EA64" i="1"/>
  <c r="DZ64" i="1"/>
  <c r="DX64" i="1"/>
  <c r="DT64" i="1"/>
  <c r="DS64" i="1"/>
  <c r="DP64" i="1"/>
  <c r="DO64" i="1"/>
  <c r="DL64" i="1"/>
  <c r="DK64" i="1"/>
  <c r="DH64" i="1"/>
  <c r="DG64" i="1"/>
  <c r="DD64" i="1"/>
  <c r="DC64" i="1"/>
  <c r="CZ64" i="1"/>
  <c r="CY64" i="1"/>
  <c r="CV64" i="1"/>
  <c r="CU64" i="1"/>
  <c r="CR64" i="1"/>
  <c r="CQ64" i="1"/>
  <c r="CN64" i="1"/>
  <c r="CM64" i="1"/>
  <c r="CJ64" i="1"/>
  <c r="CI64" i="1"/>
  <c r="CF64" i="1"/>
  <c r="CE64" i="1"/>
  <c r="CB64" i="1"/>
  <c r="CA64" i="1"/>
  <c r="BX64" i="1"/>
  <c r="BW64" i="1"/>
  <c r="BT64" i="1"/>
  <c r="BS64" i="1"/>
  <c r="BP64" i="1"/>
  <c r="BO64" i="1"/>
  <c r="BL64" i="1"/>
  <c r="BK64" i="1"/>
  <c r="BH64" i="1"/>
  <c r="BG64" i="1"/>
  <c r="BD64" i="1"/>
  <c r="BC64" i="1"/>
  <c r="AZ64" i="1"/>
  <c r="AY64" i="1"/>
  <c r="AV64" i="1"/>
  <c r="AU64" i="1"/>
  <c r="AR64" i="1"/>
  <c r="AQ64" i="1"/>
  <c r="AN64" i="1"/>
  <c r="AM64" i="1"/>
  <c r="AJ64" i="1"/>
  <c r="AI64" i="1"/>
  <c r="AF64" i="1"/>
  <c r="AE64" i="1"/>
  <c r="AB64" i="1"/>
  <c r="AA64" i="1"/>
  <c r="X64" i="1"/>
  <c r="W64" i="1"/>
  <c r="T64" i="1"/>
  <c r="S64" i="1"/>
  <c r="P64" i="1"/>
  <c r="O64" i="1"/>
  <c r="L64" i="1"/>
  <c r="K64" i="1"/>
  <c r="H64" i="1"/>
  <c r="G64" i="1"/>
  <c r="EA63" i="1"/>
  <c r="DZ63" i="1"/>
  <c r="DX63" i="1"/>
  <c r="DT63" i="1"/>
  <c r="DS63" i="1"/>
  <c r="DP63" i="1"/>
  <c r="DO63" i="1"/>
  <c r="DL63" i="1"/>
  <c r="DK63" i="1"/>
  <c r="DH63" i="1"/>
  <c r="DG63" i="1"/>
  <c r="DD63" i="1"/>
  <c r="DC63" i="1"/>
  <c r="CZ63" i="1"/>
  <c r="CY63" i="1"/>
  <c r="CV63" i="1"/>
  <c r="CU63" i="1"/>
  <c r="CR63" i="1"/>
  <c r="CQ63" i="1"/>
  <c r="CN63" i="1"/>
  <c r="CM63" i="1"/>
  <c r="CJ63" i="1"/>
  <c r="CI63" i="1"/>
  <c r="CF63" i="1"/>
  <c r="CE63" i="1"/>
  <c r="CB63" i="1"/>
  <c r="CA63" i="1"/>
  <c r="BX63" i="1"/>
  <c r="BW63" i="1"/>
  <c r="BT63" i="1"/>
  <c r="BS63" i="1"/>
  <c r="BP63" i="1"/>
  <c r="BO63" i="1"/>
  <c r="BL63" i="1"/>
  <c r="BK63" i="1"/>
  <c r="BH63" i="1"/>
  <c r="BG63" i="1"/>
  <c r="BD63" i="1"/>
  <c r="BC63" i="1"/>
  <c r="AZ63" i="1"/>
  <c r="AY63" i="1"/>
  <c r="AV63" i="1"/>
  <c r="AU63" i="1"/>
  <c r="AR63" i="1"/>
  <c r="AQ63" i="1"/>
  <c r="AN63" i="1"/>
  <c r="AM63" i="1"/>
  <c r="AJ63" i="1"/>
  <c r="AI63" i="1"/>
  <c r="AF63" i="1"/>
  <c r="AE63" i="1"/>
  <c r="AB63" i="1"/>
  <c r="AA63" i="1"/>
  <c r="X63" i="1"/>
  <c r="W63" i="1"/>
  <c r="T63" i="1"/>
  <c r="S63" i="1"/>
  <c r="P63" i="1"/>
  <c r="O63" i="1"/>
  <c r="L63" i="1"/>
  <c r="K63" i="1"/>
  <c r="H63" i="1"/>
  <c r="G63" i="1"/>
  <c r="EA62" i="1"/>
  <c r="DZ62" i="1"/>
  <c r="DX62" i="1"/>
  <c r="DT62" i="1"/>
  <c r="DS62" i="1"/>
  <c r="DP62" i="1"/>
  <c r="DO62" i="1"/>
  <c r="DL62" i="1"/>
  <c r="DK62" i="1"/>
  <c r="DH62" i="1"/>
  <c r="DG62" i="1"/>
  <c r="DD62" i="1"/>
  <c r="DC62" i="1"/>
  <c r="CZ62" i="1"/>
  <c r="CY62" i="1"/>
  <c r="CV62" i="1"/>
  <c r="CU62" i="1"/>
  <c r="CR62" i="1"/>
  <c r="CQ62" i="1"/>
  <c r="CN62" i="1"/>
  <c r="CM62" i="1"/>
  <c r="CJ62" i="1"/>
  <c r="CI62" i="1"/>
  <c r="CF62" i="1"/>
  <c r="CE62" i="1"/>
  <c r="CB62" i="1"/>
  <c r="CA62" i="1"/>
  <c r="BX62" i="1"/>
  <c r="BW62" i="1"/>
  <c r="BT62" i="1"/>
  <c r="BS62" i="1"/>
  <c r="BP62" i="1"/>
  <c r="BO62" i="1"/>
  <c r="BL62" i="1"/>
  <c r="BK62" i="1"/>
  <c r="BH62" i="1"/>
  <c r="BG62" i="1"/>
  <c r="BD62" i="1"/>
  <c r="BC62" i="1"/>
  <c r="AZ62" i="1"/>
  <c r="AY62" i="1"/>
  <c r="AV62" i="1"/>
  <c r="AU62" i="1"/>
  <c r="AR62" i="1"/>
  <c r="AQ62" i="1"/>
  <c r="AN62" i="1"/>
  <c r="AM62" i="1"/>
  <c r="AJ62" i="1"/>
  <c r="AI62" i="1"/>
  <c r="AF62" i="1"/>
  <c r="AE62" i="1"/>
  <c r="AB62" i="1"/>
  <c r="AA62" i="1"/>
  <c r="X62" i="1"/>
  <c r="W62" i="1"/>
  <c r="T62" i="1"/>
  <c r="S62" i="1"/>
  <c r="P62" i="1"/>
  <c r="O62" i="1"/>
  <c r="L62" i="1"/>
  <c r="K62" i="1"/>
  <c r="H62" i="1"/>
  <c r="G62" i="1"/>
  <c r="EA61" i="1"/>
  <c r="DZ61" i="1"/>
  <c r="DX61" i="1"/>
  <c r="DT61" i="1"/>
  <c r="DS61" i="1"/>
  <c r="DP61" i="1"/>
  <c r="DO61" i="1"/>
  <c r="DL61" i="1"/>
  <c r="DK61" i="1"/>
  <c r="DH61" i="1"/>
  <c r="DG61" i="1"/>
  <c r="DD61" i="1"/>
  <c r="DC61" i="1"/>
  <c r="CZ61" i="1"/>
  <c r="CY61" i="1"/>
  <c r="CV61" i="1"/>
  <c r="CU61" i="1"/>
  <c r="CR61" i="1"/>
  <c r="CQ61" i="1"/>
  <c r="CN61" i="1"/>
  <c r="CM61" i="1"/>
  <c r="CJ61" i="1"/>
  <c r="CI61" i="1"/>
  <c r="CF61" i="1"/>
  <c r="CE61" i="1"/>
  <c r="CB61" i="1"/>
  <c r="CA61" i="1"/>
  <c r="BX61" i="1"/>
  <c r="BW61" i="1"/>
  <c r="BT61" i="1"/>
  <c r="BS61" i="1"/>
  <c r="BP61" i="1"/>
  <c r="BO61" i="1"/>
  <c r="BL61" i="1"/>
  <c r="BK61" i="1"/>
  <c r="BH61" i="1"/>
  <c r="BG61" i="1"/>
  <c r="BD61" i="1"/>
  <c r="BC61" i="1"/>
  <c r="AZ61" i="1"/>
  <c r="AY61" i="1"/>
  <c r="AV61" i="1"/>
  <c r="AU61" i="1"/>
  <c r="AR61" i="1"/>
  <c r="AQ61" i="1"/>
  <c r="AN61" i="1"/>
  <c r="AM61" i="1"/>
  <c r="AJ61" i="1"/>
  <c r="AI61" i="1"/>
  <c r="AF61" i="1"/>
  <c r="AE61" i="1"/>
  <c r="AB61" i="1"/>
  <c r="AA61" i="1"/>
  <c r="X61" i="1"/>
  <c r="W61" i="1"/>
  <c r="T61" i="1"/>
  <c r="S61" i="1"/>
  <c r="P61" i="1"/>
  <c r="O61" i="1"/>
  <c r="L61" i="1"/>
  <c r="K61" i="1"/>
  <c r="H61" i="1"/>
  <c r="G61" i="1"/>
  <c r="EA60" i="1"/>
  <c r="DZ60" i="1"/>
  <c r="DX60" i="1"/>
  <c r="DT60" i="1"/>
  <c r="DS60" i="1"/>
  <c r="DP60" i="1"/>
  <c r="DO60" i="1"/>
  <c r="DL60" i="1"/>
  <c r="DK60" i="1"/>
  <c r="DH60" i="1"/>
  <c r="DG60" i="1"/>
  <c r="DD60" i="1"/>
  <c r="DC60" i="1"/>
  <c r="CZ60" i="1"/>
  <c r="CY60" i="1"/>
  <c r="CV60" i="1"/>
  <c r="CU60" i="1"/>
  <c r="CR60" i="1"/>
  <c r="CQ60" i="1"/>
  <c r="CN60" i="1"/>
  <c r="CM60" i="1"/>
  <c r="CJ60" i="1"/>
  <c r="CI60" i="1"/>
  <c r="CF60" i="1"/>
  <c r="CE60" i="1"/>
  <c r="CB60" i="1"/>
  <c r="CA60" i="1"/>
  <c r="BX60" i="1"/>
  <c r="BW60" i="1"/>
  <c r="BT60" i="1"/>
  <c r="BS60" i="1"/>
  <c r="BP60" i="1"/>
  <c r="BO60" i="1"/>
  <c r="BL60" i="1"/>
  <c r="BK60" i="1"/>
  <c r="BH60" i="1"/>
  <c r="BG60" i="1"/>
  <c r="BD60" i="1"/>
  <c r="BC60" i="1"/>
  <c r="AZ60" i="1"/>
  <c r="AY60" i="1"/>
  <c r="AV60" i="1"/>
  <c r="AU60" i="1"/>
  <c r="AR60" i="1"/>
  <c r="AQ60" i="1"/>
  <c r="AN60" i="1"/>
  <c r="AM60" i="1"/>
  <c r="AJ60" i="1"/>
  <c r="AI60" i="1"/>
  <c r="AF60" i="1"/>
  <c r="AE60" i="1"/>
  <c r="AB60" i="1"/>
  <c r="AA60" i="1"/>
  <c r="X60" i="1"/>
  <c r="W60" i="1"/>
  <c r="T60" i="1"/>
  <c r="S60" i="1"/>
  <c r="P60" i="1"/>
  <c r="O60" i="1"/>
  <c r="L60" i="1"/>
  <c r="K60" i="1"/>
  <c r="H60" i="1"/>
  <c r="G60" i="1"/>
  <c r="EA59" i="1"/>
  <c r="DZ59" i="1"/>
  <c r="DX59" i="1"/>
  <c r="DT59" i="1"/>
  <c r="DS59" i="1"/>
  <c r="DP59" i="1"/>
  <c r="DO59" i="1"/>
  <c r="DL59" i="1"/>
  <c r="DK59" i="1"/>
  <c r="DH59" i="1"/>
  <c r="DG59" i="1"/>
  <c r="DD59" i="1"/>
  <c r="DC59" i="1"/>
  <c r="CZ59" i="1"/>
  <c r="CY59" i="1"/>
  <c r="CV59" i="1"/>
  <c r="CU59" i="1"/>
  <c r="CR59" i="1"/>
  <c r="CQ59" i="1"/>
  <c r="CN59" i="1"/>
  <c r="CM59" i="1"/>
  <c r="CJ59" i="1"/>
  <c r="CI59" i="1"/>
  <c r="CF59" i="1"/>
  <c r="CE59" i="1"/>
  <c r="CB59" i="1"/>
  <c r="CA59" i="1"/>
  <c r="BX59" i="1"/>
  <c r="BW59" i="1"/>
  <c r="BT59" i="1"/>
  <c r="BS59" i="1"/>
  <c r="BP59" i="1"/>
  <c r="BO59" i="1"/>
  <c r="BL59" i="1"/>
  <c r="BK59" i="1"/>
  <c r="BH59" i="1"/>
  <c r="BG59" i="1"/>
  <c r="BD59" i="1"/>
  <c r="BC59" i="1"/>
  <c r="AZ59" i="1"/>
  <c r="AY59" i="1"/>
  <c r="AV59" i="1"/>
  <c r="AU59" i="1"/>
  <c r="AR59" i="1"/>
  <c r="AQ59" i="1"/>
  <c r="AN59" i="1"/>
  <c r="AM59" i="1"/>
  <c r="AJ59" i="1"/>
  <c r="AI59" i="1"/>
  <c r="AF59" i="1"/>
  <c r="AE59" i="1"/>
  <c r="AB59" i="1"/>
  <c r="AA59" i="1"/>
  <c r="X59" i="1"/>
  <c r="W59" i="1"/>
  <c r="T59" i="1"/>
  <c r="S59" i="1"/>
  <c r="P59" i="1"/>
  <c r="O59" i="1"/>
  <c r="L59" i="1"/>
  <c r="K59" i="1"/>
  <c r="H59" i="1"/>
  <c r="G59" i="1"/>
  <c r="EA58" i="1"/>
  <c r="DZ58" i="1"/>
  <c r="DX58" i="1"/>
  <c r="DT58" i="1"/>
  <c r="DS58" i="1"/>
  <c r="DP58" i="1"/>
  <c r="DO58" i="1"/>
  <c r="DL58" i="1"/>
  <c r="DK58" i="1"/>
  <c r="DH58" i="1"/>
  <c r="DG58" i="1"/>
  <c r="DD58" i="1"/>
  <c r="DC58" i="1"/>
  <c r="CZ58" i="1"/>
  <c r="CY58" i="1"/>
  <c r="CV58" i="1"/>
  <c r="CU58" i="1"/>
  <c r="CR58" i="1"/>
  <c r="CQ58" i="1"/>
  <c r="CN58" i="1"/>
  <c r="CM58" i="1"/>
  <c r="CJ58" i="1"/>
  <c r="CI58" i="1"/>
  <c r="CF58" i="1"/>
  <c r="CE58" i="1"/>
  <c r="CB58" i="1"/>
  <c r="CA58" i="1"/>
  <c r="BX58" i="1"/>
  <c r="BW58" i="1"/>
  <c r="BT58" i="1"/>
  <c r="BS58" i="1"/>
  <c r="BP58" i="1"/>
  <c r="BO58" i="1"/>
  <c r="BL58" i="1"/>
  <c r="BK58" i="1"/>
  <c r="BH58" i="1"/>
  <c r="BG58" i="1"/>
  <c r="BD58" i="1"/>
  <c r="BC58" i="1"/>
  <c r="AZ58" i="1"/>
  <c r="AY58" i="1"/>
  <c r="AV58" i="1"/>
  <c r="AU58" i="1"/>
  <c r="AR58" i="1"/>
  <c r="AQ58" i="1"/>
  <c r="AN58" i="1"/>
  <c r="AM58" i="1"/>
  <c r="AJ58" i="1"/>
  <c r="AI58" i="1"/>
  <c r="AF58" i="1"/>
  <c r="AE58" i="1"/>
  <c r="AB58" i="1"/>
  <c r="AA58" i="1"/>
  <c r="X58" i="1"/>
  <c r="W58" i="1"/>
  <c r="T58" i="1"/>
  <c r="S58" i="1"/>
  <c r="P58" i="1"/>
  <c r="O58" i="1"/>
  <c r="L58" i="1"/>
  <c r="K58" i="1"/>
  <c r="H58" i="1"/>
  <c r="G58" i="1"/>
  <c r="EA57" i="1"/>
  <c r="DZ57" i="1"/>
  <c r="DX57" i="1"/>
  <c r="DT57" i="1"/>
  <c r="DS57" i="1"/>
  <c r="DP57" i="1"/>
  <c r="DO57" i="1"/>
  <c r="DL57" i="1"/>
  <c r="DK57" i="1"/>
  <c r="DH57" i="1"/>
  <c r="DG57" i="1"/>
  <c r="DD57" i="1"/>
  <c r="DC57" i="1"/>
  <c r="CZ57" i="1"/>
  <c r="CY57" i="1"/>
  <c r="CV57" i="1"/>
  <c r="CU57" i="1"/>
  <c r="CR57" i="1"/>
  <c r="CQ57" i="1"/>
  <c r="CN57" i="1"/>
  <c r="CM57" i="1"/>
  <c r="CJ57" i="1"/>
  <c r="CI57" i="1"/>
  <c r="CF57" i="1"/>
  <c r="CE57" i="1"/>
  <c r="CB57" i="1"/>
  <c r="CA57" i="1"/>
  <c r="BX57" i="1"/>
  <c r="BW57" i="1"/>
  <c r="BT57" i="1"/>
  <c r="BS57" i="1"/>
  <c r="BP57" i="1"/>
  <c r="BO57" i="1"/>
  <c r="BL57" i="1"/>
  <c r="BK57" i="1"/>
  <c r="BH57" i="1"/>
  <c r="BG57" i="1"/>
  <c r="BD57" i="1"/>
  <c r="BC57" i="1"/>
  <c r="AZ57" i="1"/>
  <c r="AY57" i="1"/>
  <c r="AV57" i="1"/>
  <c r="AU57" i="1"/>
  <c r="AR57" i="1"/>
  <c r="AQ57" i="1"/>
  <c r="AN57" i="1"/>
  <c r="AM57" i="1"/>
  <c r="AJ57" i="1"/>
  <c r="AI57" i="1"/>
  <c r="AF57" i="1"/>
  <c r="AE57" i="1"/>
  <c r="AB57" i="1"/>
  <c r="AA57" i="1"/>
  <c r="X57" i="1"/>
  <c r="W57" i="1"/>
  <c r="T57" i="1"/>
  <c r="S57" i="1"/>
  <c r="P57" i="1"/>
  <c r="O57" i="1"/>
  <c r="L57" i="1"/>
  <c r="K57" i="1"/>
  <c r="H57" i="1"/>
  <c r="G57" i="1"/>
  <c r="DR55" i="1"/>
  <c r="DN55" i="1"/>
  <c r="DJ55" i="1"/>
  <c r="DF55" i="1"/>
  <c r="DB55" i="1"/>
  <c r="CX55" i="1"/>
  <c r="CT55" i="1"/>
  <c r="CP55" i="1"/>
  <c r="CL55" i="1"/>
  <c r="CH55" i="1"/>
  <c r="CD55" i="1"/>
  <c r="BZ55" i="1"/>
  <c r="BV55" i="1"/>
  <c r="BR55" i="1"/>
  <c r="BN55" i="1"/>
  <c r="BJ55" i="1"/>
  <c r="BF55" i="1"/>
  <c r="BB55" i="1"/>
  <c r="AX55" i="1"/>
  <c r="AT55" i="1"/>
  <c r="AP55" i="1"/>
  <c r="AL55" i="1"/>
  <c r="AH55" i="1"/>
  <c r="AD55" i="1"/>
  <c r="Z55" i="1"/>
  <c r="V55" i="1"/>
  <c r="R55" i="1"/>
  <c r="N55" i="1"/>
  <c r="J55" i="1"/>
  <c r="F55" i="1"/>
  <c r="EA54" i="1"/>
  <c r="DZ54" i="1"/>
  <c r="DX54" i="1"/>
  <c r="DT54" i="1"/>
  <c r="DS54" i="1"/>
  <c r="DP54" i="1"/>
  <c r="DO54" i="1"/>
  <c r="DL54" i="1"/>
  <c r="DK54" i="1"/>
  <c r="DH54" i="1"/>
  <c r="DG54" i="1"/>
  <c r="DD54" i="1"/>
  <c r="DC54" i="1"/>
  <c r="CZ54" i="1"/>
  <c r="CY54" i="1"/>
  <c r="CV54" i="1"/>
  <c r="CU54" i="1"/>
  <c r="CR54" i="1"/>
  <c r="CQ54" i="1"/>
  <c r="CN54" i="1"/>
  <c r="CM54" i="1"/>
  <c r="CJ54" i="1"/>
  <c r="CI54" i="1"/>
  <c r="CF54" i="1"/>
  <c r="CE54" i="1"/>
  <c r="CB54" i="1"/>
  <c r="CA54" i="1"/>
  <c r="BX54" i="1"/>
  <c r="BW54" i="1"/>
  <c r="BT54" i="1"/>
  <c r="BS54" i="1"/>
  <c r="BP54" i="1"/>
  <c r="BO54" i="1"/>
  <c r="BL54" i="1"/>
  <c r="BK54" i="1"/>
  <c r="BH54" i="1"/>
  <c r="BG54" i="1"/>
  <c r="BD54" i="1"/>
  <c r="BC54" i="1"/>
  <c r="AZ54" i="1"/>
  <c r="AY54" i="1"/>
  <c r="AV54" i="1"/>
  <c r="AU54" i="1"/>
  <c r="AR54" i="1"/>
  <c r="AQ54" i="1"/>
  <c r="AN54" i="1"/>
  <c r="AM54" i="1"/>
  <c r="AJ54" i="1"/>
  <c r="AI54" i="1"/>
  <c r="AF54" i="1"/>
  <c r="AE54" i="1"/>
  <c r="AB54" i="1"/>
  <c r="AA54" i="1"/>
  <c r="X54" i="1"/>
  <c r="W54" i="1"/>
  <c r="T54" i="1"/>
  <c r="S54" i="1"/>
  <c r="P54" i="1"/>
  <c r="O54" i="1"/>
  <c r="L54" i="1"/>
  <c r="K54" i="1"/>
  <c r="H54" i="1"/>
  <c r="G54" i="1"/>
  <c r="EA53" i="1"/>
  <c r="DZ53" i="1"/>
  <c r="DX53" i="1"/>
  <c r="DT53" i="1"/>
  <c r="DS53" i="1"/>
  <c r="DP53" i="1"/>
  <c r="DO53" i="1"/>
  <c r="DL53" i="1"/>
  <c r="DK53" i="1"/>
  <c r="DH53" i="1"/>
  <c r="DG53" i="1"/>
  <c r="DD53" i="1"/>
  <c r="DC53" i="1"/>
  <c r="CZ53" i="1"/>
  <c r="CY53" i="1"/>
  <c r="CV53" i="1"/>
  <c r="CU53" i="1"/>
  <c r="CR53" i="1"/>
  <c r="CQ53" i="1"/>
  <c r="CN53" i="1"/>
  <c r="CM53" i="1"/>
  <c r="CJ53" i="1"/>
  <c r="CI53" i="1"/>
  <c r="CF53" i="1"/>
  <c r="CE53" i="1"/>
  <c r="CB53" i="1"/>
  <c r="CA53" i="1"/>
  <c r="BX53" i="1"/>
  <c r="BW53" i="1"/>
  <c r="BT53" i="1"/>
  <c r="BS53" i="1"/>
  <c r="BP53" i="1"/>
  <c r="BO53" i="1"/>
  <c r="BL53" i="1"/>
  <c r="BK53" i="1"/>
  <c r="BH53" i="1"/>
  <c r="BG53" i="1"/>
  <c r="BD53" i="1"/>
  <c r="BC53" i="1"/>
  <c r="AZ53" i="1"/>
  <c r="AY53" i="1"/>
  <c r="AV53" i="1"/>
  <c r="AU53" i="1"/>
  <c r="AR53" i="1"/>
  <c r="AQ53" i="1"/>
  <c r="AN53" i="1"/>
  <c r="AM53" i="1"/>
  <c r="AJ53" i="1"/>
  <c r="AI53" i="1"/>
  <c r="AF53" i="1"/>
  <c r="AE53" i="1"/>
  <c r="AB53" i="1"/>
  <c r="AA53" i="1"/>
  <c r="X53" i="1"/>
  <c r="W53" i="1"/>
  <c r="T53" i="1"/>
  <c r="S53" i="1"/>
  <c r="P53" i="1"/>
  <c r="O53" i="1"/>
  <c r="L53" i="1"/>
  <c r="K53" i="1"/>
  <c r="H53" i="1"/>
  <c r="G53" i="1"/>
  <c r="EA52" i="1"/>
  <c r="DZ52" i="1"/>
  <c r="DX52" i="1"/>
  <c r="DT52" i="1"/>
  <c r="DS52" i="1"/>
  <c r="DP52" i="1"/>
  <c r="DO52" i="1"/>
  <c r="DL52" i="1"/>
  <c r="DK52" i="1"/>
  <c r="DH52" i="1"/>
  <c r="DG52" i="1"/>
  <c r="DD52" i="1"/>
  <c r="DC52" i="1"/>
  <c r="CZ52" i="1"/>
  <c r="CY52" i="1"/>
  <c r="CV52" i="1"/>
  <c r="CU52" i="1"/>
  <c r="CR52" i="1"/>
  <c r="CQ52" i="1"/>
  <c r="CN52" i="1"/>
  <c r="CM52" i="1"/>
  <c r="CJ52" i="1"/>
  <c r="CI52" i="1"/>
  <c r="CF52" i="1"/>
  <c r="CE52" i="1"/>
  <c r="CB52" i="1"/>
  <c r="CA52" i="1"/>
  <c r="BX52" i="1"/>
  <c r="BW52" i="1"/>
  <c r="BT52" i="1"/>
  <c r="BS52" i="1"/>
  <c r="BP52" i="1"/>
  <c r="BO52" i="1"/>
  <c r="BL52" i="1"/>
  <c r="BK52" i="1"/>
  <c r="BH52" i="1"/>
  <c r="BG52" i="1"/>
  <c r="BD52" i="1"/>
  <c r="BC52" i="1"/>
  <c r="AZ52" i="1"/>
  <c r="AY52" i="1"/>
  <c r="AV52" i="1"/>
  <c r="AU52" i="1"/>
  <c r="AR52" i="1"/>
  <c r="AQ52" i="1"/>
  <c r="AN52" i="1"/>
  <c r="AM52" i="1"/>
  <c r="AJ52" i="1"/>
  <c r="AI52" i="1"/>
  <c r="AF52" i="1"/>
  <c r="AE52" i="1"/>
  <c r="AB52" i="1"/>
  <c r="AA52" i="1"/>
  <c r="X52" i="1"/>
  <c r="W52" i="1"/>
  <c r="T52" i="1"/>
  <c r="S52" i="1"/>
  <c r="P52" i="1"/>
  <c r="O52" i="1"/>
  <c r="L52" i="1"/>
  <c r="K52" i="1"/>
  <c r="H52" i="1"/>
  <c r="G52" i="1"/>
  <c r="EA51" i="1"/>
  <c r="DZ51" i="1"/>
  <c r="DX51" i="1"/>
  <c r="DT51" i="1"/>
  <c r="DS51" i="1"/>
  <c r="DP51" i="1"/>
  <c r="DO51" i="1"/>
  <c r="DL51" i="1"/>
  <c r="DK51" i="1"/>
  <c r="DH51" i="1"/>
  <c r="DG51" i="1"/>
  <c r="DD51" i="1"/>
  <c r="DC51" i="1"/>
  <c r="CZ51" i="1"/>
  <c r="CY51" i="1"/>
  <c r="CV51" i="1"/>
  <c r="CU51" i="1"/>
  <c r="CR51" i="1"/>
  <c r="CQ51" i="1"/>
  <c r="CN51" i="1"/>
  <c r="CM51" i="1"/>
  <c r="CJ51" i="1"/>
  <c r="CI51" i="1"/>
  <c r="CF51" i="1"/>
  <c r="CE51" i="1"/>
  <c r="CB51" i="1"/>
  <c r="CA51" i="1"/>
  <c r="BX51" i="1"/>
  <c r="BW51" i="1"/>
  <c r="BT51" i="1"/>
  <c r="BS51" i="1"/>
  <c r="BS55" i="1" s="1"/>
  <c r="BP51" i="1"/>
  <c r="BP55" i="1" s="1"/>
  <c r="BO51" i="1"/>
  <c r="BO55" i="1" s="1"/>
  <c r="BL51" i="1"/>
  <c r="BL55" i="1" s="1"/>
  <c r="BK51" i="1"/>
  <c r="BK55" i="1" s="1"/>
  <c r="BH51" i="1"/>
  <c r="BG51" i="1"/>
  <c r="BD51" i="1"/>
  <c r="BC51" i="1"/>
  <c r="AZ51" i="1"/>
  <c r="AY51" i="1"/>
  <c r="AV51" i="1"/>
  <c r="AU51" i="1"/>
  <c r="AR51" i="1"/>
  <c r="AQ51" i="1"/>
  <c r="AN51" i="1"/>
  <c r="AM51" i="1"/>
  <c r="AJ51" i="1"/>
  <c r="AI51" i="1"/>
  <c r="AF51" i="1"/>
  <c r="AE51" i="1"/>
  <c r="AB51" i="1"/>
  <c r="AA51" i="1"/>
  <c r="X51" i="1"/>
  <c r="W51" i="1"/>
  <c r="T51" i="1"/>
  <c r="S51" i="1"/>
  <c r="P51" i="1"/>
  <c r="O51" i="1"/>
  <c r="L51" i="1"/>
  <c r="K51" i="1"/>
  <c r="H51" i="1"/>
  <c r="G51" i="1"/>
  <c r="EA50" i="1"/>
  <c r="DZ50" i="1"/>
  <c r="DX50" i="1"/>
  <c r="DT50" i="1"/>
  <c r="DT55" i="1" s="1"/>
  <c r="DS50" i="1"/>
  <c r="DS55" i="1" s="1"/>
  <c r="DP50" i="1"/>
  <c r="DP55" i="1" s="1"/>
  <c r="DO50" i="1"/>
  <c r="DO55" i="1" s="1"/>
  <c r="DL50" i="1"/>
  <c r="DL55" i="1" s="1"/>
  <c r="DK50" i="1"/>
  <c r="DK55" i="1" s="1"/>
  <c r="DH50" i="1"/>
  <c r="DG50" i="1"/>
  <c r="DD50" i="1"/>
  <c r="DC50" i="1"/>
  <c r="CZ50" i="1"/>
  <c r="CY50" i="1"/>
  <c r="CV50" i="1"/>
  <c r="CU50" i="1"/>
  <c r="CU55" i="1" s="1"/>
  <c r="CR50" i="1"/>
  <c r="CR55" i="1" s="1"/>
  <c r="CQ50" i="1"/>
  <c r="CQ55" i="1" s="1"/>
  <c r="CN50" i="1"/>
  <c r="CN55" i="1" s="1"/>
  <c r="CM50" i="1"/>
  <c r="CM55" i="1" s="1"/>
  <c r="CJ50" i="1"/>
  <c r="CJ55" i="1" s="1"/>
  <c r="CI50" i="1"/>
  <c r="CI55" i="1" s="1"/>
  <c r="CF50" i="1"/>
  <c r="CF55" i="1" s="1"/>
  <c r="CE50" i="1"/>
  <c r="CE55" i="1" s="1"/>
  <c r="CB50" i="1"/>
  <c r="CB55" i="1" s="1"/>
  <c r="CA50" i="1"/>
  <c r="CA55" i="1" s="1"/>
  <c r="BX50" i="1"/>
  <c r="BX55" i="1" s="1"/>
  <c r="BW50" i="1"/>
  <c r="BW55" i="1" s="1"/>
  <c r="BT50" i="1"/>
  <c r="BT55" i="1" s="1"/>
  <c r="BS50" i="1"/>
  <c r="BP50" i="1"/>
  <c r="BO50" i="1"/>
  <c r="BL50" i="1"/>
  <c r="BK50" i="1"/>
  <c r="BH50" i="1"/>
  <c r="BG50" i="1"/>
  <c r="BD50" i="1"/>
  <c r="BC50" i="1"/>
  <c r="AZ50" i="1"/>
  <c r="AY50" i="1"/>
  <c r="AV50" i="1"/>
  <c r="AU50" i="1"/>
  <c r="AR50" i="1"/>
  <c r="AQ50" i="1"/>
  <c r="AN50" i="1"/>
  <c r="AM50" i="1"/>
  <c r="AJ50" i="1"/>
  <c r="AI50" i="1"/>
  <c r="AF50" i="1"/>
  <c r="AE50" i="1"/>
  <c r="AB50" i="1"/>
  <c r="AA50" i="1"/>
  <c r="X50" i="1"/>
  <c r="W50" i="1"/>
  <c r="T50" i="1"/>
  <c r="S50" i="1"/>
  <c r="P50" i="1"/>
  <c r="O50" i="1"/>
  <c r="L50" i="1"/>
  <c r="K50" i="1"/>
  <c r="H50" i="1"/>
  <c r="G50" i="1"/>
  <c r="EA49" i="1"/>
  <c r="DZ49" i="1"/>
  <c r="DX49" i="1"/>
  <c r="DT49" i="1"/>
  <c r="DS49" i="1"/>
  <c r="DP49" i="1"/>
  <c r="DO49" i="1"/>
  <c r="DL49" i="1"/>
  <c r="DK49" i="1"/>
  <c r="DH49" i="1"/>
  <c r="DG49" i="1"/>
  <c r="DD49" i="1"/>
  <c r="DC49" i="1"/>
  <c r="CZ49" i="1"/>
  <c r="CY49" i="1"/>
  <c r="CV49" i="1"/>
  <c r="CU49" i="1"/>
  <c r="CR49" i="1"/>
  <c r="CQ49" i="1"/>
  <c r="CN49" i="1"/>
  <c r="CM49" i="1"/>
  <c r="CJ49" i="1"/>
  <c r="CI49" i="1"/>
  <c r="CF49" i="1"/>
  <c r="CE49" i="1"/>
  <c r="CB49" i="1"/>
  <c r="CA49" i="1"/>
  <c r="BX49" i="1"/>
  <c r="BW49" i="1"/>
  <c r="BT49" i="1"/>
  <c r="BS49" i="1"/>
  <c r="BP49" i="1"/>
  <c r="BO49" i="1"/>
  <c r="BL49" i="1"/>
  <c r="BK49" i="1"/>
  <c r="BH49" i="1"/>
  <c r="BG49" i="1"/>
  <c r="BD49" i="1"/>
  <c r="BC49" i="1"/>
  <c r="AZ49" i="1"/>
  <c r="AY49" i="1"/>
  <c r="AV49" i="1"/>
  <c r="AU49" i="1"/>
  <c r="AR49" i="1"/>
  <c r="AQ49" i="1"/>
  <c r="AN49" i="1"/>
  <c r="AM49" i="1"/>
  <c r="AJ49" i="1"/>
  <c r="AI49" i="1"/>
  <c r="AF49" i="1"/>
  <c r="AE49" i="1"/>
  <c r="AB49" i="1"/>
  <c r="AA49" i="1"/>
  <c r="X49" i="1"/>
  <c r="W49" i="1"/>
  <c r="T49" i="1"/>
  <c r="S49" i="1"/>
  <c r="P49" i="1"/>
  <c r="O49" i="1"/>
  <c r="L49" i="1"/>
  <c r="K49" i="1"/>
  <c r="H49" i="1"/>
  <c r="G49" i="1"/>
  <c r="EA48" i="1"/>
  <c r="DZ48" i="1"/>
  <c r="DX48" i="1"/>
  <c r="DT48" i="1"/>
  <c r="DS48" i="1"/>
  <c r="DP48" i="1"/>
  <c r="DO48" i="1"/>
  <c r="DL48" i="1"/>
  <c r="DK48" i="1"/>
  <c r="DH48" i="1"/>
  <c r="DG48" i="1"/>
  <c r="DD48" i="1"/>
  <c r="DC48" i="1"/>
  <c r="CZ48" i="1"/>
  <c r="CY48" i="1"/>
  <c r="CV48" i="1"/>
  <c r="CU48" i="1"/>
  <c r="CR48" i="1"/>
  <c r="CQ48" i="1"/>
  <c r="CN48" i="1"/>
  <c r="CM48" i="1"/>
  <c r="CJ48" i="1"/>
  <c r="CI48" i="1"/>
  <c r="CF48" i="1"/>
  <c r="CE48" i="1"/>
  <c r="CB48" i="1"/>
  <c r="CA48" i="1"/>
  <c r="BX48" i="1"/>
  <c r="BW48" i="1"/>
  <c r="BT48" i="1"/>
  <c r="BS48" i="1"/>
  <c r="BP48" i="1"/>
  <c r="BO48" i="1"/>
  <c r="BL48" i="1"/>
  <c r="BK48" i="1"/>
  <c r="BH48" i="1"/>
  <c r="BG48" i="1"/>
  <c r="BD48" i="1"/>
  <c r="BC48" i="1"/>
  <c r="AZ48" i="1"/>
  <c r="AY48" i="1"/>
  <c r="AV48" i="1"/>
  <c r="AU48" i="1"/>
  <c r="AR48" i="1"/>
  <c r="AQ48" i="1"/>
  <c r="AN48" i="1"/>
  <c r="AM48" i="1"/>
  <c r="AJ48" i="1"/>
  <c r="AI48" i="1"/>
  <c r="AF48" i="1"/>
  <c r="AE48" i="1"/>
  <c r="AB48" i="1"/>
  <c r="AA48" i="1"/>
  <c r="X48" i="1"/>
  <c r="W48" i="1"/>
  <c r="T48" i="1"/>
  <c r="S48" i="1"/>
  <c r="P48" i="1"/>
  <c r="O48" i="1"/>
  <c r="L48" i="1"/>
  <c r="K48" i="1"/>
  <c r="H48" i="1"/>
  <c r="G48" i="1"/>
  <c r="EA47" i="1"/>
  <c r="DZ47" i="1"/>
  <c r="DX47" i="1"/>
  <c r="DT47" i="1"/>
  <c r="DS47" i="1"/>
  <c r="DP47" i="1"/>
  <c r="DO47" i="1"/>
  <c r="DL47" i="1"/>
  <c r="DK47" i="1"/>
  <c r="DH47" i="1"/>
  <c r="DG47" i="1"/>
  <c r="DD47" i="1"/>
  <c r="DC47" i="1"/>
  <c r="CZ47" i="1"/>
  <c r="CY47" i="1"/>
  <c r="CV47" i="1"/>
  <c r="CU47" i="1"/>
  <c r="CR47" i="1"/>
  <c r="CQ47" i="1"/>
  <c r="CN47" i="1"/>
  <c r="CM47" i="1"/>
  <c r="CJ47" i="1"/>
  <c r="CI47" i="1"/>
  <c r="CF47" i="1"/>
  <c r="CE47" i="1"/>
  <c r="CB47" i="1"/>
  <c r="CA47" i="1"/>
  <c r="BX47" i="1"/>
  <c r="BW47" i="1"/>
  <c r="BT47" i="1"/>
  <c r="BS47" i="1"/>
  <c r="BP47" i="1"/>
  <c r="BO47" i="1"/>
  <c r="BL47" i="1"/>
  <c r="BK47" i="1"/>
  <c r="BH47" i="1"/>
  <c r="BG47" i="1"/>
  <c r="BD47" i="1"/>
  <c r="BC47" i="1"/>
  <c r="AZ47" i="1"/>
  <c r="AY47" i="1"/>
  <c r="AV47" i="1"/>
  <c r="AU47" i="1"/>
  <c r="AR47" i="1"/>
  <c r="AQ47" i="1"/>
  <c r="AN47" i="1"/>
  <c r="AM47" i="1"/>
  <c r="AJ47" i="1"/>
  <c r="AI47" i="1"/>
  <c r="AF47" i="1"/>
  <c r="AE47" i="1"/>
  <c r="AB47" i="1"/>
  <c r="AA47" i="1"/>
  <c r="X47" i="1"/>
  <c r="W47" i="1"/>
  <c r="T47" i="1"/>
  <c r="S47" i="1"/>
  <c r="P47" i="1"/>
  <c r="O47" i="1"/>
  <c r="L47" i="1"/>
  <c r="K47" i="1"/>
  <c r="H47" i="1"/>
  <c r="G47" i="1"/>
  <c r="EA46" i="1"/>
  <c r="DZ46" i="1"/>
  <c r="DX46" i="1"/>
  <c r="DT46" i="1"/>
  <c r="DS46" i="1"/>
  <c r="DP46" i="1"/>
  <c r="DO46" i="1"/>
  <c r="DL46" i="1"/>
  <c r="DK46" i="1"/>
  <c r="DH46" i="1"/>
  <c r="DG46" i="1"/>
  <c r="DD46" i="1"/>
  <c r="DC46" i="1"/>
  <c r="CZ46" i="1"/>
  <c r="CY46" i="1"/>
  <c r="CV46" i="1"/>
  <c r="CU46" i="1"/>
  <c r="CR46" i="1"/>
  <c r="CQ46" i="1"/>
  <c r="CN46" i="1"/>
  <c r="CM46" i="1"/>
  <c r="CJ46" i="1"/>
  <c r="CI46" i="1"/>
  <c r="CF46" i="1"/>
  <c r="CE46" i="1"/>
  <c r="CB46" i="1"/>
  <c r="CA46" i="1"/>
  <c r="BX46" i="1"/>
  <c r="BW46" i="1"/>
  <c r="BT46" i="1"/>
  <c r="BS46" i="1"/>
  <c r="BP46" i="1"/>
  <c r="BO46" i="1"/>
  <c r="BL46" i="1"/>
  <c r="BK46" i="1"/>
  <c r="BH46" i="1"/>
  <c r="BG46" i="1"/>
  <c r="BD46" i="1"/>
  <c r="BC46" i="1"/>
  <c r="AZ46" i="1"/>
  <c r="AY46" i="1"/>
  <c r="AV46" i="1"/>
  <c r="AU46" i="1"/>
  <c r="AR46" i="1"/>
  <c r="AQ46" i="1"/>
  <c r="AN46" i="1"/>
  <c r="AM46" i="1"/>
  <c r="AJ46" i="1"/>
  <c r="AI46" i="1"/>
  <c r="AF46" i="1"/>
  <c r="AE46" i="1"/>
  <c r="AB46" i="1"/>
  <c r="AA46" i="1"/>
  <c r="X46" i="1"/>
  <c r="W46" i="1"/>
  <c r="T46" i="1"/>
  <c r="S46" i="1"/>
  <c r="P46" i="1"/>
  <c r="O46" i="1"/>
  <c r="L46" i="1"/>
  <c r="K46" i="1"/>
  <c r="H46" i="1"/>
  <c r="G46" i="1"/>
  <c r="EA45" i="1"/>
  <c r="DZ45" i="1"/>
  <c r="DX45" i="1"/>
  <c r="DT45" i="1"/>
  <c r="DS45" i="1"/>
  <c r="DP45" i="1"/>
  <c r="DO45" i="1"/>
  <c r="DL45" i="1"/>
  <c r="DK45" i="1"/>
  <c r="DH45" i="1"/>
  <c r="DG45" i="1"/>
  <c r="DD45" i="1"/>
  <c r="DC45" i="1"/>
  <c r="CZ45" i="1"/>
  <c r="CY45" i="1"/>
  <c r="CV45" i="1"/>
  <c r="CU45" i="1"/>
  <c r="CR45" i="1"/>
  <c r="CQ45" i="1"/>
  <c r="CN45" i="1"/>
  <c r="CM45" i="1"/>
  <c r="CJ45" i="1"/>
  <c r="CI45" i="1"/>
  <c r="CF45" i="1"/>
  <c r="CE45" i="1"/>
  <c r="CB45" i="1"/>
  <c r="CA45" i="1"/>
  <c r="BX45" i="1"/>
  <c r="BW45" i="1"/>
  <c r="BT45" i="1"/>
  <c r="BS45" i="1"/>
  <c r="BP45" i="1"/>
  <c r="BO45" i="1"/>
  <c r="BL45" i="1"/>
  <c r="BK45" i="1"/>
  <c r="BH45" i="1"/>
  <c r="BG45" i="1"/>
  <c r="BD45" i="1"/>
  <c r="BC45" i="1"/>
  <c r="AZ45" i="1"/>
  <c r="AY45" i="1"/>
  <c r="AV45" i="1"/>
  <c r="AU45" i="1"/>
  <c r="AR45" i="1"/>
  <c r="AQ45" i="1"/>
  <c r="AN45" i="1"/>
  <c r="AM45" i="1"/>
  <c r="AJ45" i="1"/>
  <c r="AI45" i="1"/>
  <c r="AF45" i="1"/>
  <c r="AE45" i="1"/>
  <c r="AB45" i="1"/>
  <c r="AA45" i="1"/>
  <c r="X45" i="1"/>
  <c r="W45" i="1"/>
  <c r="T45" i="1"/>
  <c r="S45" i="1"/>
  <c r="P45" i="1"/>
  <c r="O45" i="1"/>
  <c r="L45" i="1"/>
  <c r="K45" i="1"/>
  <c r="H45" i="1"/>
  <c r="G45" i="1"/>
  <c r="EA44" i="1"/>
  <c r="DZ44" i="1"/>
  <c r="DX44" i="1"/>
  <c r="DT44" i="1"/>
  <c r="DS44" i="1"/>
  <c r="DP44" i="1"/>
  <c r="DO44" i="1"/>
  <c r="DL44" i="1"/>
  <c r="DK44" i="1"/>
  <c r="DH44" i="1"/>
  <c r="DG44" i="1"/>
  <c r="DD44" i="1"/>
  <c r="DC44" i="1"/>
  <c r="CZ44" i="1"/>
  <c r="CY44" i="1"/>
  <c r="CV44" i="1"/>
  <c r="CU44" i="1"/>
  <c r="CR44" i="1"/>
  <c r="CQ44" i="1"/>
  <c r="CN44" i="1"/>
  <c r="CM44" i="1"/>
  <c r="CJ44" i="1"/>
  <c r="CI44" i="1"/>
  <c r="CF44" i="1"/>
  <c r="CE44" i="1"/>
  <c r="CB44" i="1"/>
  <c r="CA44" i="1"/>
  <c r="BX44" i="1"/>
  <c r="BW44" i="1"/>
  <c r="BT44" i="1"/>
  <c r="BS44" i="1"/>
  <c r="BP44" i="1"/>
  <c r="BO44" i="1"/>
  <c r="BL44" i="1"/>
  <c r="BK44" i="1"/>
  <c r="BH44" i="1"/>
  <c r="BG44" i="1"/>
  <c r="BD44" i="1"/>
  <c r="BC44" i="1"/>
  <c r="AZ44" i="1"/>
  <c r="AY44" i="1"/>
  <c r="AV44" i="1"/>
  <c r="AU44" i="1"/>
  <c r="AR44" i="1"/>
  <c r="AQ44" i="1"/>
  <c r="AN44" i="1"/>
  <c r="AM44" i="1"/>
  <c r="AJ44" i="1"/>
  <c r="AI44" i="1"/>
  <c r="AF44" i="1"/>
  <c r="AE44" i="1"/>
  <c r="AB44" i="1"/>
  <c r="AA44" i="1"/>
  <c r="X44" i="1"/>
  <c r="W44" i="1"/>
  <c r="T44" i="1"/>
  <c r="S44" i="1"/>
  <c r="P44" i="1"/>
  <c r="O44" i="1"/>
  <c r="L44" i="1"/>
  <c r="K44" i="1"/>
  <c r="H44" i="1"/>
  <c r="G44" i="1"/>
  <c r="EA43" i="1"/>
  <c r="DZ43" i="1"/>
  <c r="DX43" i="1"/>
  <c r="DT43" i="1"/>
  <c r="DS43" i="1"/>
  <c r="DP43" i="1"/>
  <c r="DO43" i="1"/>
  <c r="DL43" i="1"/>
  <c r="DK43" i="1"/>
  <c r="DH43" i="1"/>
  <c r="DG43" i="1"/>
  <c r="DD43" i="1"/>
  <c r="DC43" i="1"/>
  <c r="CZ43" i="1"/>
  <c r="CY43" i="1"/>
  <c r="CV43" i="1"/>
  <c r="CU43" i="1"/>
  <c r="CR43" i="1"/>
  <c r="CQ43" i="1"/>
  <c r="CN43" i="1"/>
  <c r="CM43" i="1"/>
  <c r="CJ43" i="1"/>
  <c r="CI43" i="1"/>
  <c r="CF43" i="1"/>
  <c r="CE43" i="1"/>
  <c r="CB43" i="1"/>
  <c r="CA43" i="1"/>
  <c r="BX43" i="1"/>
  <c r="BW43" i="1"/>
  <c r="BT43" i="1"/>
  <c r="BS43" i="1"/>
  <c r="BP43" i="1"/>
  <c r="BO43" i="1"/>
  <c r="BL43" i="1"/>
  <c r="BK43" i="1"/>
  <c r="BH43" i="1"/>
  <c r="BG43" i="1"/>
  <c r="BD43" i="1"/>
  <c r="BC43" i="1"/>
  <c r="AZ43" i="1"/>
  <c r="AY43" i="1"/>
  <c r="AV43" i="1"/>
  <c r="AU43" i="1"/>
  <c r="AR43" i="1"/>
  <c r="AQ43" i="1"/>
  <c r="AN43" i="1"/>
  <c r="AM43" i="1"/>
  <c r="AJ43" i="1"/>
  <c r="AI43" i="1"/>
  <c r="AF43" i="1"/>
  <c r="AE43" i="1"/>
  <c r="AB43" i="1"/>
  <c r="AA43" i="1"/>
  <c r="X43" i="1"/>
  <c r="W43" i="1"/>
  <c r="T43" i="1"/>
  <c r="S43" i="1"/>
  <c r="P43" i="1"/>
  <c r="O43" i="1"/>
  <c r="L43" i="1"/>
  <c r="K43" i="1"/>
  <c r="H43" i="1"/>
  <c r="G43" i="1"/>
  <c r="EA42" i="1"/>
  <c r="DZ42" i="1"/>
  <c r="DX42" i="1"/>
  <c r="DT42" i="1"/>
  <c r="DS42" i="1"/>
  <c r="DP42" i="1"/>
  <c r="DO42" i="1"/>
  <c r="DL42" i="1"/>
  <c r="DK42" i="1"/>
  <c r="DH42" i="1"/>
  <c r="DG42" i="1"/>
  <c r="DD42" i="1"/>
  <c r="DC42" i="1"/>
  <c r="CZ42" i="1"/>
  <c r="CY42" i="1"/>
  <c r="CV42" i="1"/>
  <c r="CU42" i="1"/>
  <c r="CR42" i="1"/>
  <c r="CQ42" i="1"/>
  <c r="CN42" i="1"/>
  <c r="CM42" i="1"/>
  <c r="CJ42" i="1"/>
  <c r="CI42" i="1"/>
  <c r="CF42" i="1"/>
  <c r="CE42" i="1"/>
  <c r="CB42" i="1"/>
  <c r="CA42" i="1"/>
  <c r="BX42" i="1"/>
  <c r="BW42" i="1"/>
  <c r="BT42" i="1"/>
  <c r="BS42" i="1"/>
  <c r="BP42" i="1"/>
  <c r="BO42" i="1"/>
  <c r="BL42" i="1"/>
  <c r="BK42" i="1"/>
  <c r="BH42" i="1"/>
  <c r="BG42" i="1"/>
  <c r="BD42" i="1"/>
  <c r="BC42" i="1"/>
  <c r="AZ42" i="1"/>
  <c r="AY42" i="1"/>
  <c r="AV42" i="1"/>
  <c r="AU42" i="1"/>
  <c r="AR42" i="1"/>
  <c r="AQ42" i="1"/>
  <c r="AN42" i="1"/>
  <c r="AM42" i="1"/>
  <c r="AJ42" i="1"/>
  <c r="AI42" i="1"/>
  <c r="AF42" i="1"/>
  <c r="AE42" i="1"/>
  <c r="AB42" i="1"/>
  <c r="AA42" i="1"/>
  <c r="X42" i="1"/>
  <c r="W42" i="1"/>
  <c r="T42" i="1"/>
  <c r="S42" i="1"/>
  <c r="P42" i="1"/>
  <c r="O42" i="1"/>
  <c r="L42" i="1"/>
  <c r="K42" i="1"/>
  <c r="H42" i="1"/>
  <c r="G42" i="1"/>
  <c r="EA41" i="1"/>
  <c r="DZ41" i="1"/>
  <c r="DX41" i="1"/>
  <c r="DT41" i="1"/>
  <c r="DS41" i="1"/>
  <c r="DP41" i="1"/>
  <c r="DO41" i="1"/>
  <c r="DL41" i="1"/>
  <c r="DK41" i="1"/>
  <c r="DH41" i="1"/>
  <c r="DG41" i="1"/>
  <c r="DD41" i="1"/>
  <c r="DC41" i="1"/>
  <c r="CZ41" i="1"/>
  <c r="CY41" i="1"/>
  <c r="CV41" i="1"/>
  <c r="CU41" i="1"/>
  <c r="CR41" i="1"/>
  <c r="CQ41" i="1"/>
  <c r="CN41" i="1"/>
  <c r="CM41" i="1"/>
  <c r="CJ41" i="1"/>
  <c r="CI41" i="1"/>
  <c r="CF41" i="1"/>
  <c r="CE41" i="1"/>
  <c r="CB41" i="1"/>
  <c r="CA41" i="1"/>
  <c r="BX41" i="1"/>
  <c r="BW41" i="1"/>
  <c r="BT41" i="1"/>
  <c r="BS41" i="1"/>
  <c r="BP41" i="1"/>
  <c r="BO41" i="1"/>
  <c r="BL41" i="1"/>
  <c r="BK41" i="1"/>
  <c r="BH41" i="1"/>
  <c r="BG41" i="1"/>
  <c r="BD41" i="1"/>
  <c r="BC41" i="1"/>
  <c r="AZ41" i="1"/>
  <c r="AY41" i="1"/>
  <c r="AV41" i="1"/>
  <c r="AU41" i="1"/>
  <c r="AR41" i="1"/>
  <c r="AQ41" i="1"/>
  <c r="AN41" i="1"/>
  <c r="AM41" i="1"/>
  <c r="AJ41" i="1"/>
  <c r="AI41" i="1"/>
  <c r="AF41" i="1"/>
  <c r="AE41" i="1"/>
  <c r="AB41" i="1"/>
  <c r="AA41" i="1"/>
  <c r="X41" i="1"/>
  <c r="W41" i="1"/>
  <c r="T41" i="1"/>
  <c r="S41" i="1"/>
  <c r="P41" i="1"/>
  <c r="O41" i="1"/>
  <c r="L41" i="1"/>
  <c r="K41" i="1"/>
  <c r="H41" i="1"/>
  <c r="G41" i="1"/>
  <c r="EA40" i="1"/>
  <c r="DZ40" i="1"/>
  <c r="DX40" i="1"/>
  <c r="DT40" i="1"/>
  <c r="DS40" i="1"/>
  <c r="DP40" i="1"/>
  <c r="DO40" i="1"/>
  <c r="DL40" i="1"/>
  <c r="DK40" i="1"/>
  <c r="DH40" i="1"/>
  <c r="DG40" i="1"/>
  <c r="DD40" i="1"/>
  <c r="DC40" i="1"/>
  <c r="CZ40" i="1"/>
  <c r="CY40" i="1"/>
  <c r="CV40" i="1"/>
  <c r="CU40" i="1"/>
  <c r="CR40" i="1"/>
  <c r="CQ40" i="1"/>
  <c r="CN40" i="1"/>
  <c r="CM40" i="1"/>
  <c r="CJ40" i="1"/>
  <c r="CI40" i="1"/>
  <c r="CF40" i="1"/>
  <c r="CE40" i="1"/>
  <c r="CB40" i="1"/>
  <c r="CA40" i="1"/>
  <c r="BX40" i="1"/>
  <c r="BW40" i="1"/>
  <c r="BT40" i="1"/>
  <c r="BS40" i="1"/>
  <c r="BP40" i="1"/>
  <c r="BO40" i="1"/>
  <c r="BL40" i="1"/>
  <c r="BK40" i="1"/>
  <c r="BH40" i="1"/>
  <c r="BG40" i="1"/>
  <c r="BD40" i="1"/>
  <c r="BC40" i="1"/>
  <c r="AZ40" i="1"/>
  <c r="AY40" i="1"/>
  <c r="AV40" i="1"/>
  <c r="AU40" i="1"/>
  <c r="AR40" i="1"/>
  <c r="AQ40" i="1"/>
  <c r="AN40" i="1"/>
  <c r="AM40" i="1"/>
  <c r="AJ40" i="1"/>
  <c r="AI40" i="1"/>
  <c r="AF40" i="1"/>
  <c r="AE40" i="1"/>
  <c r="AB40" i="1"/>
  <c r="AA40" i="1"/>
  <c r="X40" i="1"/>
  <c r="W40" i="1"/>
  <c r="T40" i="1"/>
  <c r="S40" i="1"/>
  <c r="P40" i="1"/>
  <c r="O40" i="1"/>
  <c r="L40" i="1"/>
  <c r="K40" i="1"/>
  <c r="H40" i="1"/>
  <c r="G40" i="1"/>
  <c r="EA39" i="1"/>
  <c r="DZ39" i="1"/>
  <c r="DX39" i="1"/>
  <c r="DT39" i="1"/>
  <c r="DS39" i="1"/>
  <c r="DP39" i="1"/>
  <c r="DO39" i="1"/>
  <c r="DL39" i="1"/>
  <c r="DK39" i="1"/>
  <c r="DH39" i="1"/>
  <c r="DG39" i="1"/>
  <c r="DD39" i="1"/>
  <c r="DC39" i="1"/>
  <c r="CZ39" i="1"/>
  <c r="CY39" i="1"/>
  <c r="CV39" i="1"/>
  <c r="CU39" i="1"/>
  <c r="CR39" i="1"/>
  <c r="CQ39" i="1"/>
  <c r="CN39" i="1"/>
  <c r="CM39" i="1"/>
  <c r="CJ39" i="1"/>
  <c r="CI39" i="1"/>
  <c r="CF39" i="1"/>
  <c r="CE39" i="1"/>
  <c r="CB39" i="1"/>
  <c r="CA39" i="1"/>
  <c r="BX39" i="1"/>
  <c r="BW39" i="1"/>
  <c r="BT39" i="1"/>
  <c r="BS39" i="1"/>
  <c r="BP39" i="1"/>
  <c r="BO39" i="1"/>
  <c r="BL39" i="1"/>
  <c r="BK39" i="1"/>
  <c r="BH39" i="1"/>
  <c r="BH55" i="1" s="1"/>
  <c r="BG39" i="1"/>
  <c r="BG55" i="1" s="1"/>
  <c r="BD39" i="1"/>
  <c r="BD55" i="1" s="1"/>
  <c r="BC39" i="1"/>
  <c r="BC55" i="1" s="1"/>
  <c r="AZ39" i="1"/>
  <c r="AZ55" i="1" s="1"/>
  <c r="AY39" i="1"/>
  <c r="AY55" i="1" s="1"/>
  <c r="AV39" i="1"/>
  <c r="AV55" i="1" s="1"/>
  <c r="AU39" i="1"/>
  <c r="AU55" i="1" s="1"/>
  <c r="AR39" i="1"/>
  <c r="AR55" i="1" s="1"/>
  <c r="AQ39" i="1"/>
  <c r="AQ55" i="1" s="1"/>
  <c r="AN39" i="1"/>
  <c r="AN55" i="1" s="1"/>
  <c r="AM39" i="1"/>
  <c r="AM55" i="1" s="1"/>
  <c r="AJ39" i="1"/>
  <c r="AJ55" i="1" s="1"/>
  <c r="AI39" i="1"/>
  <c r="AI55" i="1" s="1"/>
  <c r="AF39" i="1"/>
  <c r="AF55" i="1" s="1"/>
  <c r="AE39" i="1"/>
  <c r="AE55" i="1" s="1"/>
  <c r="AB39" i="1"/>
  <c r="AB55" i="1" s="1"/>
  <c r="AA39" i="1"/>
  <c r="AA55" i="1" s="1"/>
  <c r="X39" i="1"/>
  <c r="X55" i="1" s="1"/>
  <c r="W39" i="1"/>
  <c r="W55" i="1" s="1"/>
  <c r="T39" i="1"/>
  <c r="T55" i="1" s="1"/>
  <c r="S39" i="1"/>
  <c r="S55" i="1" s="1"/>
  <c r="P39" i="1"/>
  <c r="P55" i="1" s="1"/>
  <c r="O39" i="1"/>
  <c r="O55" i="1" s="1"/>
  <c r="L39" i="1"/>
  <c r="L55" i="1" s="1"/>
  <c r="K39" i="1"/>
  <c r="K55" i="1" s="1"/>
  <c r="H39" i="1"/>
  <c r="H55" i="1" s="1"/>
  <c r="G39" i="1"/>
  <c r="G55" i="1" s="1"/>
  <c r="DR37" i="1"/>
  <c r="DN37" i="1"/>
  <c r="DJ37" i="1"/>
  <c r="DF37" i="1"/>
  <c r="DB37" i="1"/>
  <c r="CX37" i="1"/>
  <c r="CT37" i="1"/>
  <c r="CP37" i="1"/>
  <c r="CL37" i="1"/>
  <c r="CH37" i="1"/>
  <c r="CD37" i="1"/>
  <c r="BZ37" i="1"/>
  <c r="BV37" i="1"/>
  <c r="BR37" i="1"/>
  <c r="BN37" i="1"/>
  <c r="BJ37" i="1"/>
  <c r="BF37" i="1"/>
  <c r="BB37" i="1"/>
  <c r="AX37" i="1"/>
  <c r="AT37" i="1"/>
  <c r="AP37" i="1"/>
  <c r="AL37" i="1"/>
  <c r="AH37" i="1"/>
  <c r="AD37" i="1"/>
  <c r="Z37" i="1"/>
  <c r="V37" i="1"/>
  <c r="R37" i="1"/>
  <c r="N37" i="1"/>
  <c r="J37" i="1"/>
  <c r="F37" i="1"/>
  <c r="EA36" i="1"/>
  <c r="DZ36" i="1"/>
  <c r="DX36" i="1"/>
  <c r="DT36" i="1"/>
  <c r="DS36" i="1"/>
  <c r="DP36" i="1"/>
  <c r="DO36" i="1"/>
  <c r="DL36" i="1"/>
  <c r="DK36" i="1"/>
  <c r="DH36" i="1"/>
  <c r="DG36" i="1"/>
  <c r="DD36" i="1"/>
  <c r="DC36" i="1"/>
  <c r="CZ36" i="1"/>
  <c r="CY36" i="1"/>
  <c r="CV36" i="1"/>
  <c r="CU36" i="1"/>
  <c r="CR36" i="1"/>
  <c r="CQ36" i="1"/>
  <c r="CN36" i="1"/>
  <c r="CM36" i="1"/>
  <c r="CJ36" i="1"/>
  <c r="CI36" i="1"/>
  <c r="CF36" i="1"/>
  <c r="CE36" i="1"/>
  <c r="CB36" i="1"/>
  <c r="CA36" i="1"/>
  <c r="BX36" i="1"/>
  <c r="BW36" i="1"/>
  <c r="BT36" i="1"/>
  <c r="BS36" i="1"/>
  <c r="BP36" i="1"/>
  <c r="BO36" i="1"/>
  <c r="BL36" i="1"/>
  <c r="BK36" i="1"/>
  <c r="BH36" i="1"/>
  <c r="BG36" i="1"/>
  <c r="BD36" i="1"/>
  <c r="BC36" i="1"/>
  <c r="AZ36" i="1"/>
  <c r="AY36" i="1"/>
  <c r="AV36" i="1"/>
  <c r="AU36" i="1"/>
  <c r="AR36" i="1"/>
  <c r="AQ36" i="1"/>
  <c r="AN36" i="1"/>
  <c r="AM36" i="1"/>
  <c r="AJ36" i="1"/>
  <c r="AI36" i="1"/>
  <c r="AF36" i="1"/>
  <c r="AE36" i="1"/>
  <c r="AB36" i="1"/>
  <c r="AA36" i="1"/>
  <c r="X36" i="1"/>
  <c r="W36" i="1"/>
  <c r="T36" i="1"/>
  <c r="S36" i="1"/>
  <c r="P36" i="1"/>
  <c r="O36" i="1"/>
  <c r="L36" i="1"/>
  <c r="K36" i="1"/>
  <c r="H36" i="1"/>
  <c r="G36" i="1"/>
  <c r="EA35" i="1"/>
  <c r="DZ35" i="1"/>
  <c r="DX35" i="1"/>
  <c r="DT35" i="1"/>
  <c r="DS35" i="1"/>
  <c r="DP35" i="1"/>
  <c r="DO35" i="1"/>
  <c r="DL35" i="1"/>
  <c r="DK35" i="1"/>
  <c r="DH35" i="1"/>
  <c r="DG35" i="1"/>
  <c r="DD35" i="1"/>
  <c r="DC35" i="1"/>
  <c r="CZ35" i="1"/>
  <c r="CY35" i="1"/>
  <c r="CV35" i="1"/>
  <c r="CU35" i="1"/>
  <c r="CR35" i="1"/>
  <c r="CQ35" i="1"/>
  <c r="CN35" i="1"/>
  <c r="CM35" i="1"/>
  <c r="CJ35" i="1"/>
  <c r="CI35" i="1"/>
  <c r="CF35" i="1"/>
  <c r="CE35" i="1"/>
  <c r="CB35" i="1"/>
  <c r="CA35" i="1"/>
  <c r="BX35" i="1"/>
  <c r="BW35" i="1"/>
  <c r="BT35" i="1"/>
  <c r="BS35" i="1"/>
  <c r="BP35" i="1"/>
  <c r="BO35" i="1"/>
  <c r="BL35" i="1"/>
  <c r="BK35" i="1"/>
  <c r="BH35" i="1"/>
  <c r="BG35" i="1"/>
  <c r="BD35" i="1"/>
  <c r="BC35" i="1"/>
  <c r="AZ35" i="1"/>
  <c r="AY35" i="1"/>
  <c r="AV35" i="1"/>
  <c r="AU35" i="1"/>
  <c r="AR35" i="1"/>
  <c r="AQ35" i="1"/>
  <c r="AN35" i="1"/>
  <c r="AM35" i="1"/>
  <c r="AJ35" i="1"/>
  <c r="AI35" i="1"/>
  <c r="AF35" i="1"/>
  <c r="AE35" i="1"/>
  <c r="AB35" i="1"/>
  <c r="AA35" i="1"/>
  <c r="X35" i="1"/>
  <c r="W35" i="1"/>
  <c r="T35" i="1"/>
  <c r="S35" i="1"/>
  <c r="P35" i="1"/>
  <c r="O35" i="1"/>
  <c r="L35" i="1"/>
  <c r="K35" i="1"/>
  <c r="H35" i="1"/>
  <c r="G35" i="1"/>
  <c r="EA34" i="1"/>
  <c r="DZ34" i="1"/>
  <c r="DX34" i="1"/>
  <c r="DT34" i="1"/>
  <c r="DS34" i="1"/>
  <c r="DP34" i="1"/>
  <c r="DO34" i="1"/>
  <c r="DL34" i="1"/>
  <c r="DK34" i="1"/>
  <c r="DH34" i="1"/>
  <c r="DG34" i="1"/>
  <c r="DD34" i="1"/>
  <c r="DC34" i="1"/>
  <c r="CZ34" i="1"/>
  <c r="CY34" i="1"/>
  <c r="CV34" i="1"/>
  <c r="CU34" i="1"/>
  <c r="CR34" i="1"/>
  <c r="CQ34" i="1"/>
  <c r="CN34" i="1"/>
  <c r="CM34" i="1"/>
  <c r="CJ34" i="1"/>
  <c r="CI34" i="1"/>
  <c r="CF34" i="1"/>
  <c r="CE34" i="1"/>
  <c r="CB34" i="1"/>
  <c r="CA34" i="1"/>
  <c r="BX34" i="1"/>
  <c r="BW34" i="1"/>
  <c r="BT34" i="1"/>
  <c r="BS34" i="1"/>
  <c r="BP34" i="1"/>
  <c r="BO34" i="1"/>
  <c r="BL34" i="1"/>
  <c r="BK34" i="1"/>
  <c r="BH34" i="1"/>
  <c r="BG34" i="1"/>
  <c r="BD34" i="1"/>
  <c r="BC34" i="1"/>
  <c r="AZ34" i="1"/>
  <c r="AY34" i="1"/>
  <c r="AV34" i="1"/>
  <c r="AU34" i="1"/>
  <c r="AR34" i="1"/>
  <c r="AQ34" i="1"/>
  <c r="AN34" i="1"/>
  <c r="AM34" i="1"/>
  <c r="AJ34" i="1"/>
  <c r="AI34" i="1"/>
  <c r="AF34" i="1"/>
  <c r="AE34" i="1"/>
  <c r="AB34" i="1"/>
  <c r="AA34" i="1"/>
  <c r="X34" i="1"/>
  <c r="W34" i="1"/>
  <c r="T34" i="1"/>
  <c r="S34" i="1"/>
  <c r="P34" i="1"/>
  <c r="O34" i="1"/>
  <c r="L34" i="1"/>
  <c r="K34" i="1"/>
  <c r="H34" i="1"/>
  <c r="G34" i="1"/>
  <c r="EA33" i="1"/>
  <c r="DZ33" i="1"/>
  <c r="DX33" i="1"/>
  <c r="DT33" i="1"/>
  <c r="DS33" i="1"/>
  <c r="DP33" i="1"/>
  <c r="DO33" i="1"/>
  <c r="DL33" i="1"/>
  <c r="DK33" i="1"/>
  <c r="DH33" i="1"/>
  <c r="DG33" i="1"/>
  <c r="DD33" i="1"/>
  <c r="DC33" i="1"/>
  <c r="CZ33" i="1"/>
  <c r="CY33" i="1"/>
  <c r="CV33" i="1"/>
  <c r="CU33" i="1"/>
  <c r="CR33" i="1"/>
  <c r="CQ33" i="1"/>
  <c r="CN33" i="1"/>
  <c r="CM33" i="1"/>
  <c r="CJ33" i="1"/>
  <c r="CI33" i="1"/>
  <c r="CF33" i="1"/>
  <c r="CE33" i="1"/>
  <c r="CB33" i="1"/>
  <c r="CA33" i="1"/>
  <c r="BX33" i="1"/>
  <c r="BW33" i="1"/>
  <c r="BT33" i="1"/>
  <c r="BS33" i="1"/>
  <c r="BP33" i="1"/>
  <c r="BO33" i="1"/>
  <c r="BL33" i="1"/>
  <c r="BK33" i="1"/>
  <c r="BH33" i="1"/>
  <c r="BG33" i="1"/>
  <c r="BD33" i="1"/>
  <c r="BC33" i="1"/>
  <c r="AZ33" i="1"/>
  <c r="AY33" i="1"/>
  <c r="AV33" i="1"/>
  <c r="AU33" i="1"/>
  <c r="AR33" i="1"/>
  <c r="AQ33" i="1"/>
  <c r="AN33" i="1"/>
  <c r="AM33" i="1"/>
  <c r="AJ33" i="1"/>
  <c r="AI33" i="1"/>
  <c r="AF33" i="1"/>
  <c r="AE33" i="1"/>
  <c r="AB33" i="1"/>
  <c r="AA33" i="1"/>
  <c r="X33" i="1"/>
  <c r="W33" i="1"/>
  <c r="T33" i="1"/>
  <c r="S33" i="1"/>
  <c r="P33" i="1"/>
  <c r="O33" i="1"/>
  <c r="L33" i="1"/>
  <c r="K33" i="1"/>
  <c r="H33" i="1"/>
  <c r="G33" i="1"/>
  <c r="EA32" i="1"/>
  <c r="DZ32" i="1"/>
  <c r="DX32" i="1"/>
  <c r="DT32" i="1"/>
  <c r="DS32" i="1"/>
  <c r="DP32" i="1"/>
  <c r="DO32" i="1"/>
  <c r="DL32" i="1"/>
  <c r="DK32" i="1"/>
  <c r="DH32" i="1"/>
  <c r="DG32" i="1"/>
  <c r="DD32" i="1"/>
  <c r="DC32" i="1"/>
  <c r="CZ32" i="1"/>
  <c r="CY32" i="1"/>
  <c r="CV32" i="1"/>
  <c r="CU32" i="1"/>
  <c r="CR32" i="1"/>
  <c r="CQ32" i="1"/>
  <c r="CN32" i="1"/>
  <c r="CM32" i="1"/>
  <c r="CJ32" i="1"/>
  <c r="CI32" i="1"/>
  <c r="CF32" i="1"/>
  <c r="CE32" i="1"/>
  <c r="CB32" i="1"/>
  <c r="CA32" i="1"/>
  <c r="BX32" i="1"/>
  <c r="BW32" i="1"/>
  <c r="BT32" i="1"/>
  <c r="BS32" i="1"/>
  <c r="BP32" i="1"/>
  <c r="BO32" i="1"/>
  <c r="BL32" i="1"/>
  <c r="BK32" i="1"/>
  <c r="BH32" i="1"/>
  <c r="BG32" i="1"/>
  <c r="BD32" i="1"/>
  <c r="BC32" i="1"/>
  <c r="AZ32" i="1"/>
  <c r="AY32" i="1"/>
  <c r="AV32" i="1"/>
  <c r="AU32" i="1"/>
  <c r="AR32" i="1"/>
  <c r="AQ32" i="1"/>
  <c r="AN32" i="1"/>
  <c r="AM32" i="1"/>
  <c r="AJ32" i="1"/>
  <c r="AI32" i="1"/>
  <c r="AF32" i="1"/>
  <c r="AE32" i="1"/>
  <c r="AB32" i="1"/>
  <c r="AA32" i="1"/>
  <c r="X32" i="1"/>
  <c r="W32" i="1"/>
  <c r="T32" i="1"/>
  <c r="S32" i="1"/>
  <c r="P32" i="1"/>
  <c r="O32" i="1"/>
  <c r="L32" i="1"/>
  <c r="K32" i="1"/>
  <c r="H32" i="1"/>
  <c r="G32" i="1"/>
  <c r="EA31" i="1"/>
  <c r="DZ31" i="1"/>
  <c r="DX31" i="1"/>
  <c r="DT31" i="1"/>
  <c r="DS31" i="1"/>
  <c r="DP31" i="1"/>
  <c r="DO31" i="1"/>
  <c r="DL31" i="1"/>
  <c r="DK31" i="1"/>
  <c r="DH31" i="1"/>
  <c r="DG31" i="1"/>
  <c r="DD31" i="1"/>
  <c r="DC31" i="1"/>
  <c r="CZ31" i="1"/>
  <c r="CY31" i="1"/>
  <c r="CV31" i="1"/>
  <c r="CU31" i="1"/>
  <c r="CR31" i="1"/>
  <c r="CQ31" i="1"/>
  <c r="CN31" i="1"/>
  <c r="CM31" i="1"/>
  <c r="CJ31" i="1"/>
  <c r="CI31" i="1"/>
  <c r="CF31" i="1"/>
  <c r="CE31" i="1"/>
  <c r="CB31" i="1"/>
  <c r="CA31" i="1"/>
  <c r="BX31" i="1"/>
  <c r="BW31" i="1"/>
  <c r="BT31" i="1"/>
  <c r="BS31" i="1"/>
  <c r="BP31" i="1"/>
  <c r="BO31" i="1"/>
  <c r="BL31" i="1"/>
  <c r="BK31" i="1"/>
  <c r="BH31" i="1"/>
  <c r="BG31" i="1"/>
  <c r="BD31" i="1"/>
  <c r="BC31" i="1"/>
  <c r="AZ31" i="1"/>
  <c r="AY31" i="1"/>
  <c r="AV31" i="1"/>
  <c r="AU31" i="1"/>
  <c r="AR31" i="1"/>
  <c r="AQ31" i="1"/>
  <c r="AN31" i="1"/>
  <c r="AM31" i="1"/>
  <c r="AJ31" i="1"/>
  <c r="AI31" i="1"/>
  <c r="AF31" i="1"/>
  <c r="AE31" i="1"/>
  <c r="AB31" i="1"/>
  <c r="AA31" i="1"/>
  <c r="X31" i="1"/>
  <c r="W31" i="1"/>
  <c r="T31" i="1"/>
  <c r="S31" i="1"/>
  <c r="P31" i="1"/>
  <c r="O31" i="1"/>
  <c r="L31" i="1"/>
  <c r="K31" i="1"/>
  <c r="H31" i="1"/>
  <c r="G31" i="1"/>
  <c r="EA30" i="1"/>
  <c r="DZ30" i="1"/>
  <c r="DX30" i="1"/>
  <c r="DT30" i="1"/>
  <c r="DS30" i="1"/>
  <c r="DP30" i="1"/>
  <c r="DO30" i="1"/>
  <c r="DL30" i="1"/>
  <c r="DK30" i="1"/>
  <c r="DH30" i="1"/>
  <c r="DG30" i="1"/>
  <c r="DD30" i="1"/>
  <c r="DC30" i="1"/>
  <c r="CZ30" i="1"/>
  <c r="CY30" i="1"/>
  <c r="CV30" i="1"/>
  <c r="CU30" i="1"/>
  <c r="CR30" i="1"/>
  <c r="CQ30" i="1"/>
  <c r="CN30" i="1"/>
  <c r="CM30" i="1"/>
  <c r="CJ30" i="1"/>
  <c r="CI30" i="1"/>
  <c r="CF30" i="1"/>
  <c r="CE30" i="1"/>
  <c r="CB30" i="1"/>
  <c r="CA30" i="1"/>
  <c r="BX30" i="1"/>
  <c r="BW30" i="1"/>
  <c r="BT30" i="1"/>
  <c r="BS30" i="1"/>
  <c r="BP30" i="1"/>
  <c r="BO30" i="1"/>
  <c r="BL30" i="1"/>
  <c r="BK30" i="1"/>
  <c r="BH30" i="1"/>
  <c r="BG30" i="1"/>
  <c r="BD30" i="1"/>
  <c r="BC30" i="1"/>
  <c r="AZ30" i="1"/>
  <c r="AY30" i="1"/>
  <c r="AV30" i="1"/>
  <c r="AU30" i="1"/>
  <c r="AR30" i="1"/>
  <c r="AQ30" i="1"/>
  <c r="AN30" i="1"/>
  <c r="AM30" i="1"/>
  <c r="AJ30" i="1"/>
  <c r="AI30" i="1"/>
  <c r="AF30" i="1"/>
  <c r="AE30" i="1"/>
  <c r="AB30" i="1"/>
  <c r="AA30" i="1"/>
  <c r="X30" i="1"/>
  <c r="W30" i="1"/>
  <c r="T30" i="1"/>
  <c r="S30" i="1"/>
  <c r="P30" i="1"/>
  <c r="O30" i="1"/>
  <c r="L30" i="1"/>
  <c r="K30" i="1"/>
  <c r="H30" i="1"/>
  <c r="G30" i="1"/>
  <c r="EA29" i="1"/>
  <c r="DZ29" i="1"/>
  <c r="DX29" i="1"/>
  <c r="DT29" i="1"/>
  <c r="DS29" i="1"/>
  <c r="DP29" i="1"/>
  <c r="DO29" i="1"/>
  <c r="DL29" i="1"/>
  <c r="DK29" i="1"/>
  <c r="DH29" i="1"/>
  <c r="DG29" i="1"/>
  <c r="DD29" i="1"/>
  <c r="DC29" i="1"/>
  <c r="CZ29" i="1"/>
  <c r="CY29" i="1"/>
  <c r="CV29" i="1"/>
  <c r="CU29" i="1"/>
  <c r="CR29" i="1"/>
  <c r="CQ29" i="1"/>
  <c r="CN29" i="1"/>
  <c r="CM29" i="1"/>
  <c r="CJ29" i="1"/>
  <c r="CI29" i="1"/>
  <c r="CF29" i="1"/>
  <c r="CE29" i="1"/>
  <c r="CB29" i="1"/>
  <c r="CA29" i="1"/>
  <c r="BX29" i="1"/>
  <c r="BW29" i="1"/>
  <c r="BT29" i="1"/>
  <c r="BS29" i="1"/>
  <c r="BP29" i="1"/>
  <c r="BO29" i="1"/>
  <c r="BL29" i="1"/>
  <c r="BK29" i="1"/>
  <c r="BH29" i="1"/>
  <c r="BG29" i="1"/>
  <c r="BD29" i="1"/>
  <c r="BC29" i="1"/>
  <c r="AZ29" i="1"/>
  <c r="AY29" i="1"/>
  <c r="AV29" i="1"/>
  <c r="AU29" i="1"/>
  <c r="AR29" i="1"/>
  <c r="AQ29" i="1"/>
  <c r="AN29" i="1"/>
  <c r="AM29" i="1"/>
  <c r="AJ29" i="1"/>
  <c r="AI29" i="1"/>
  <c r="AF29" i="1"/>
  <c r="AE29" i="1"/>
  <c r="AB29" i="1"/>
  <c r="AA29" i="1"/>
  <c r="X29" i="1"/>
  <c r="W29" i="1"/>
  <c r="T29" i="1"/>
  <c r="S29" i="1"/>
  <c r="P29" i="1"/>
  <c r="O29" i="1"/>
  <c r="L29" i="1"/>
  <c r="K29" i="1"/>
  <c r="H29" i="1"/>
  <c r="G29" i="1"/>
  <c r="EA28" i="1"/>
  <c r="DZ28" i="1"/>
  <c r="DX28" i="1"/>
  <c r="DT28" i="1"/>
  <c r="DS28" i="1"/>
  <c r="DP28" i="1"/>
  <c r="DO28" i="1"/>
  <c r="DL28" i="1"/>
  <c r="DK28" i="1"/>
  <c r="DH28" i="1"/>
  <c r="DG28" i="1"/>
  <c r="DD28" i="1"/>
  <c r="DC28" i="1"/>
  <c r="CZ28" i="1"/>
  <c r="CY28" i="1"/>
  <c r="CV28" i="1"/>
  <c r="CU28" i="1"/>
  <c r="CR28" i="1"/>
  <c r="CQ28" i="1"/>
  <c r="CN28" i="1"/>
  <c r="CM28" i="1"/>
  <c r="CJ28" i="1"/>
  <c r="CI28" i="1"/>
  <c r="CF28" i="1"/>
  <c r="CE28" i="1"/>
  <c r="CB28" i="1"/>
  <c r="CA28" i="1"/>
  <c r="BX28" i="1"/>
  <c r="BW28" i="1"/>
  <c r="BT28" i="1"/>
  <c r="BS28" i="1"/>
  <c r="BP28" i="1"/>
  <c r="BO28" i="1"/>
  <c r="BL28" i="1"/>
  <c r="BK28" i="1"/>
  <c r="BH28" i="1"/>
  <c r="BG28" i="1"/>
  <c r="BD28" i="1"/>
  <c r="BC28" i="1"/>
  <c r="AZ28" i="1"/>
  <c r="AY28" i="1"/>
  <c r="AV28" i="1"/>
  <c r="AU28" i="1"/>
  <c r="AR28" i="1"/>
  <c r="AQ28" i="1"/>
  <c r="AN28" i="1"/>
  <c r="AM28" i="1"/>
  <c r="AJ28" i="1"/>
  <c r="AI28" i="1"/>
  <c r="AF28" i="1"/>
  <c r="AE28" i="1"/>
  <c r="AB28" i="1"/>
  <c r="AA28" i="1"/>
  <c r="X28" i="1"/>
  <c r="W28" i="1"/>
  <c r="T28" i="1"/>
  <c r="S28" i="1"/>
  <c r="P28" i="1"/>
  <c r="O28" i="1"/>
  <c r="L28" i="1"/>
  <c r="K28" i="1"/>
  <c r="H28" i="1"/>
  <c r="G28" i="1"/>
  <c r="EA27" i="1"/>
  <c r="DZ27" i="1"/>
  <c r="DX27" i="1"/>
  <c r="DT27" i="1"/>
  <c r="DS27" i="1"/>
  <c r="DP27" i="1"/>
  <c r="DO27" i="1"/>
  <c r="DL27" i="1"/>
  <c r="DK27" i="1"/>
  <c r="DH27" i="1"/>
  <c r="DG27" i="1"/>
  <c r="DD27" i="1"/>
  <c r="DC27" i="1"/>
  <c r="CZ27" i="1"/>
  <c r="CY27" i="1"/>
  <c r="CV27" i="1"/>
  <c r="CU27" i="1"/>
  <c r="CR27" i="1"/>
  <c r="CQ27" i="1"/>
  <c r="CN27" i="1"/>
  <c r="CM27" i="1"/>
  <c r="CJ27" i="1"/>
  <c r="CI27" i="1"/>
  <c r="CF27" i="1"/>
  <c r="CE27" i="1"/>
  <c r="CB27" i="1"/>
  <c r="CA27" i="1"/>
  <c r="BX27" i="1"/>
  <c r="BW27" i="1"/>
  <c r="BT27" i="1"/>
  <c r="BS27" i="1"/>
  <c r="BP27" i="1"/>
  <c r="BO27" i="1"/>
  <c r="BL27" i="1"/>
  <c r="BK27" i="1"/>
  <c r="BH27" i="1"/>
  <c r="BG27" i="1"/>
  <c r="BD27" i="1"/>
  <c r="BC27" i="1"/>
  <c r="AZ27" i="1"/>
  <c r="AY27" i="1"/>
  <c r="AV27" i="1"/>
  <c r="AU27" i="1"/>
  <c r="AR27" i="1"/>
  <c r="AQ27" i="1"/>
  <c r="AN27" i="1"/>
  <c r="AM27" i="1"/>
  <c r="AJ27" i="1"/>
  <c r="AI27" i="1"/>
  <c r="AF27" i="1"/>
  <c r="AE27" i="1"/>
  <c r="AB27" i="1"/>
  <c r="AA27" i="1"/>
  <c r="X27" i="1"/>
  <c r="W27" i="1"/>
  <c r="T27" i="1"/>
  <c r="S27" i="1"/>
  <c r="P27" i="1"/>
  <c r="O27" i="1"/>
  <c r="L27" i="1"/>
  <c r="K27" i="1"/>
  <c r="H27" i="1"/>
  <c r="G27" i="1"/>
  <c r="EA26" i="1"/>
  <c r="DZ26" i="1"/>
  <c r="DX26" i="1"/>
  <c r="DT26" i="1"/>
  <c r="DS26" i="1"/>
  <c r="DP26" i="1"/>
  <c r="DO26" i="1"/>
  <c r="DL26" i="1"/>
  <c r="DK26" i="1"/>
  <c r="DH26" i="1"/>
  <c r="DG26" i="1"/>
  <c r="DD26" i="1"/>
  <c r="DC26" i="1"/>
  <c r="CZ26" i="1"/>
  <c r="CY26" i="1"/>
  <c r="CV26" i="1"/>
  <c r="CU26" i="1"/>
  <c r="CR26" i="1"/>
  <c r="CQ26" i="1"/>
  <c r="CN26" i="1"/>
  <c r="CM26" i="1"/>
  <c r="CJ26" i="1"/>
  <c r="CI26" i="1"/>
  <c r="CF26" i="1"/>
  <c r="CE26" i="1"/>
  <c r="CB26" i="1"/>
  <c r="CA26" i="1"/>
  <c r="BX26" i="1"/>
  <c r="BW26" i="1"/>
  <c r="BT26" i="1"/>
  <c r="BS26" i="1"/>
  <c r="BP26" i="1"/>
  <c r="BO26" i="1"/>
  <c r="BL26" i="1"/>
  <c r="BK26" i="1"/>
  <c r="BH26" i="1"/>
  <c r="BG26" i="1"/>
  <c r="BD26" i="1"/>
  <c r="BC26" i="1"/>
  <c r="AZ26" i="1"/>
  <c r="AY26" i="1"/>
  <c r="AV26" i="1"/>
  <c r="AU26" i="1"/>
  <c r="AR26" i="1"/>
  <c r="AQ26" i="1"/>
  <c r="AN26" i="1"/>
  <c r="AM26" i="1"/>
  <c r="AJ26" i="1"/>
  <c r="AI26" i="1"/>
  <c r="AF26" i="1"/>
  <c r="AE26" i="1"/>
  <c r="AB26" i="1"/>
  <c r="AA26" i="1"/>
  <c r="X26" i="1"/>
  <c r="W26" i="1"/>
  <c r="T26" i="1"/>
  <c r="S26" i="1"/>
  <c r="P26" i="1"/>
  <c r="O26" i="1"/>
  <c r="L26" i="1"/>
  <c r="K26" i="1"/>
  <c r="H26" i="1"/>
  <c r="G26" i="1"/>
  <c r="EA25" i="1"/>
  <c r="DZ25" i="1"/>
  <c r="DX25" i="1"/>
  <c r="DT25" i="1"/>
  <c r="DS25" i="1"/>
  <c r="DP25" i="1"/>
  <c r="DO25" i="1"/>
  <c r="DL25" i="1"/>
  <c r="DK25" i="1"/>
  <c r="DH25" i="1"/>
  <c r="DG25" i="1"/>
  <c r="DD25" i="1"/>
  <c r="DC25" i="1"/>
  <c r="CZ25" i="1"/>
  <c r="CY25" i="1"/>
  <c r="CV25" i="1"/>
  <c r="CU25" i="1"/>
  <c r="CR25" i="1"/>
  <c r="CQ25" i="1"/>
  <c r="CN25" i="1"/>
  <c r="CM25" i="1"/>
  <c r="CJ25" i="1"/>
  <c r="CI25" i="1"/>
  <c r="CF25" i="1"/>
  <c r="CE25" i="1"/>
  <c r="CB25" i="1"/>
  <c r="CA25" i="1"/>
  <c r="BX25" i="1"/>
  <c r="BW25" i="1"/>
  <c r="BT25" i="1"/>
  <c r="BS25" i="1"/>
  <c r="BP25" i="1"/>
  <c r="BO25" i="1"/>
  <c r="BL25" i="1"/>
  <c r="BK25" i="1"/>
  <c r="BH25" i="1"/>
  <c r="BG25" i="1"/>
  <c r="BD25" i="1"/>
  <c r="BC25" i="1"/>
  <c r="AZ25" i="1"/>
  <c r="AY25" i="1"/>
  <c r="AV25" i="1"/>
  <c r="AU25" i="1"/>
  <c r="AR25" i="1"/>
  <c r="AQ25" i="1"/>
  <c r="AN25" i="1"/>
  <c r="AM25" i="1"/>
  <c r="AJ25" i="1"/>
  <c r="AI25" i="1"/>
  <c r="AF25" i="1"/>
  <c r="AE25" i="1"/>
  <c r="AB25" i="1"/>
  <c r="AA25" i="1"/>
  <c r="X25" i="1"/>
  <c r="W25" i="1"/>
  <c r="T25" i="1"/>
  <c r="S25" i="1"/>
  <c r="P25" i="1"/>
  <c r="O25" i="1"/>
  <c r="L25" i="1"/>
  <c r="K25" i="1"/>
  <c r="H25" i="1"/>
  <c r="G25" i="1"/>
  <c r="EA24" i="1"/>
  <c r="DZ24" i="1"/>
  <c r="DX24" i="1"/>
  <c r="DT24" i="1"/>
  <c r="DS24" i="1"/>
  <c r="DP24" i="1"/>
  <c r="DO24" i="1"/>
  <c r="DL24" i="1"/>
  <c r="DK24" i="1"/>
  <c r="DH24" i="1"/>
  <c r="DG24" i="1"/>
  <c r="DD24" i="1"/>
  <c r="DC24" i="1"/>
  <c r="CZ24" i="1"/>
  <c r="CY24" i="1"/>
  <c r="CV24" i="1"/>
  <c r="CU24" i="1"/>
  <c r="CR24" i="1"/>
  <c r="CQ24" i="1"/>
  <c r="CN24" i="1"/>
  <c r="CM24" i="1"/>
  <c r="CJ24" i="1"/>
  <c r="CI24" i="1"/>
  <c r="CF24" i="1"/>
  <c r="CE24" i="1"/>
  <c r="CB24" i="1"/>
  <c r="CA24" i="1"/>
  <c r="BX24" i="1"/>
  <c r="BW24" i="1"/>
  <c r="BT24" i="1"/>
  <c r="BS24" i="1"/>
  <c r="BP24" i="1"/>
  <c r="BO24" i="1"/>
  <c r="BL24" i="1"/>
  <c r="BK24" i="1"/>
  <c r="BH24" i="1"/>
  <c r="BG24" i="1"/>
  <c r="BD24" i="1"/>
  <c r="BC24" i="1"/>
  <c r="AZ24" i="1"/>
  <c r="AY24" i="1"/>
  <c r="AV24" i="1"/>
  <c r="AU24" i="1"/>
  <c r="AR24" i="1"/>
  <c r="AQ24" i="1"/>
  <c r="AN24" i="1"/>
  <c r="AM24" i="1"/>
  <c r="AJ24" i="1"/>
  <c r="AI24" i="1"/>
  <c r="AF24" i="1"/>
  <c r="AE24" i="1"/>
  <c r="AB24" i="1"/>
  <c r="AA24" i="1"/>
  <c r="X24" i="1"/>
  <c r="W24" i="1"/>
  <c r="T24" i="1"/>
  <c r="S24" i="1"/>
  <c r="P24" i="1"/>
  <c r="O24" i="1"/>
  <c r="L24" i="1"/>
  <c r="K24" i="1"/>
  <c r="H24" i="1"/>
  <c r="G24" i="1"/>
  <c r="EA23" i="1"/>
  <c r="DZ23" i="1"/>
  <c r="DX23" i="1"/>
  <c r="DT23" i="1"/>
  <c r="DS23" i="1"/>
  <c r="DP23" i="1"/>
  <c r="DO23" i="1"/>
  <c r="DL23" i="1"/>
  <c r="DK23" i="1"/>
  <c r="DH23" i="1"/>
  <c r="DG23" i="1"/>
  <c r="DD23" i="1"/>
  <c r="DC23" i="1"/>
  <c r="CZ23" i="1"/>
  <c r="CY23" i="1"/>
  <c r="CV23" i="1"/>
  <c r="CU23" i="1"/>
  <c r="CR23" i="1"/>
  <c r="CQ23" i="1"/>
  <c r="CN23" i="1"/>
  <c r="CM23" i="1"/>
  <c r="CJ23" i="1"/>
  <c r="CI23" i="1"/>
  <c r="CF23" i="1"/>
  <c r="CE23" i="1"/>
  <c r="CB23" i="1"/>
  <c r="CA23" i="1"/>
  <c r="BX23" i="1"/>
  <c r="BW23" i="1"/>
  <c r="BT23" i="1"/>
  <c r="BS23" i="1"/>
  <c r="BP23" i="1"/>
  <c r="BO23" i="1"/>
  <c r="BL23" i="1"/>
  <c r="BK23" i="1"/>
  <c r="BH23" i="1"/>
  <c r="BG23" i="1"/>
  <c r="BD23" i="1"/>
  <c r="BC23" i="1"/>
  <c r="AZ23" i="1"/>
  <c r="AY23" i="1"/>
  <c r="AV23" i="1"/>
  <c r="AU23" i="1"/>
  <c r="AR23" i="1"/>
  <c r="AQ23" i="1"/>
  <c r="AN23" i="1"/>
  <c r="AM23" i="1"/>
  <c r="AJ23" i="1"/>
  <c r="AI23" i="1"/>
  <c r="AF23" i="1"/>
  <c r="AE23" i="1"/>
  <c r="AB23" i="1"/>
  <c r="AA23" i="1"/>
  <c r="X23" i="1"/>
  <c r="W23" i="1"/>
  <c r="T23" i="1"/>
  <c r="S23" i="1"/>
  <c r="P23" i="1"/>
  <c r="O23" i="1"/>
  <c r="L23" i="1"/>
  <c r="K23" i="1"/>
  <c r="H23" i="1"/>
  <c r="G23" i="1"/>
  <c r="EA22" i="1"/>
  <c r="DZ22" i="1"/>
  <c r="DX22" i="1"/>
  <c r="DT22" i="1"/>
  <c r="DS22" i="1"/>
  <c r="DP22" i="1"/>
  <c r="DO22" i="1"/>
  <c r="DL22" i="1"/>
  <c r="DK22" i="1"/>
  <c r="DH22" i="1"/>
  <c r="DG22" i="1"/>
  <c r="DD22" i="1"/>
  <c r="DC22" i="1"/>
  <c r="CZ22" i="1"/>
  <c r="CY22" i="1"/>
  <c r="CV22" i="1"/>
  <c r="CU22" i="1"/>
  <c r="CR22" i="1"/>
  <c r="CQ22" i="1"/>
  <c r="CN22" i="1"/>
  <c r="CM22" i="1"/>
  <c r="CJ22" i="1"/>
  <c r="CI22" i="1"/>
  <c r="CF22" i="1"/>
  <c r="CE22" i="1"/>
  <c r="CB22" i="1"/>
  <c r="CA22" i="1"/>
  <c r="BX22" i="1"/>
  <c r="BW22" i="1"/>
  <c r="BT22" i="1"/>
  <c r="BS22" i="1"/>
  <c r="BP22" i="1"/>
  <c r="BO22" i="1"/>
  <c r="BL22" i="1"/>
  <c r="BK22" i="1"/>
  <c r="BH22" i="1"/>
  <c r="BG22" i="1"/>
  <c r="BD22" i="1"/>
  <c r="BC22" i="1"/>
  <c r="AZ22" i="1"/>
  <c r="AY22" i="1"/>
  <c r="AV22" i="1"/>
  <c r="AU22" i="1"/>
  <c r="AR22" i="1"/>
  <c r="AQ22" i="1"/>
  <c r="AN22" i="1"/>
  <c r="AM22" i="1"/>
  <c r="AJ22" i="1"/>
  <c r="AI22" i="1"/>
  <c r="AF22" i="1"/>
  <c r="AE22" i="1"/>
  <c r="AB22" i="1"/>
  <c r="AA22" i="1"/>
  <c r="X22" i="1"/>
  <c r="W22" i="1"/>
  <c r="T22" i="1"/>
  <c r="S22" i="1"/>
  <c r="P22" i="1"/>
  <c r="O22" i="1"/>
  <c r="L22" i="1"/>
  <c r="K22" i="1"/>
  <c r="H22" i="1"/>
  <c r="G22" i="1"/>
  <c r="EA21" i="1"/>
  <c r="DZ21" i="1"/>
  <c r="DX21" i="1"/>
  <c r="DT21" i="1"/>
  <c r="DT37" i="1" s="1"/>
  <c r="DS21" i="1"/>
  <c r="DS37" i="1" s="1"/>
  <c r="DP21" i="1"/>
  <c r="DP37" i="1" s="1"/>
  <c r="DO21" i="1"/>
  <c r="DO37" i="1" s="1"/>
  <c r="DL21" i="1"/>
  <c r="DL37" i="1" s="1"/>
  <c r="DK21" i="1"/>
  <c r="DK37" i="1" s="1"/>
  <c r="DH21" i="1"/>
  <c r="DH37" i="1" s="1"/>
  <c r="DG21" i="1"/>
  <c r="DG37" i="1" s="1"/>
  <c r="DD21" i="1"/>
  <c r="DD37" i="1" s="1"/>
  <c r="DC21" i="1"/>
  <c r="DC37" i="1" s="1"/>
  <c r="CZ21" i="1"/>
  <c r="CZ37" i="1" s="1"/>
  <c r="CY21" i="1"/>
  <c r="CY37" i="1" s="1"/>
  <c r="CV21" i="1"/>
  <c r="CU21" i="1"/>
  <c r="CU37" i="1" s="1"/>
  <c r="CR21" i="1"/>
  <c r="CR37" i="1" s="1"/>
  <c r="CQ21" i="1"/>
  <c r="CQ37" i="1" s="1"/>
  <c r="CN21" i="1"/>
  <c r="CN37" i="1" s="1"/>
  <c r="CM21" i="1"/>
  <c r="CM37" i="1" s="1"/>
  <c r="CJ21" i="1"/>
  <c r="CJ37" i="1" s="1"/>
  <c r="CI21" i="1"/>
  <c r="CI37" i="1" s="1"/>
  <c r="CF21" i="1"/>
  <c r="CF37" i="1" s="1"/>
  <c r="CE21" i="1"/>
  <c r="CE37" i="1" s="1"/>
  <c r="CB21" i="1"/>
  <c r="CB37" i="1" s="1"/>
  <c r="CA21" i="1"/>
  <c r="CA37" i="1" s="1"/>
  <c r="BX21" i="1"/>
  <c r="BX37" i="1" s="1"/>
  <c r="BW21" i="1"/>
  <c r="BW37" i="1" s="1"/>
  <c r="BT21" i="1"/>
  <c r="BT37" i="1" s="1"/>
  <c r="BS21" i="1"/>
  <c r="BS37" i="1" s="1"/>
  <c r="BP21" i="1"/>
  <c r="BP37" i="1" s="1"/>
  <c r="BO21" i="1"/>
  <c r="BO37" i="1" s="1"/>
  <c r="BL21" i="1"/>
  <c r="BL37" i="1" s="1"/>
  <c r="BK21" i="1"/>
  <c r="BK37" i="1" s="1"/>
  <c r="BH21" i="1"/>
  <c r="BH37" i="1" s="1"/>
  <c r="BG21" i="1"/>
  <c r="BG37" i="1" s="1"/>
  <c r="BD21" i="1"/>
  <c r="BD37" i="1" s="1"/>
  <c r="BC21" i="1"/>
  <c r="BC37" i="1" s="1"/>
  <c r="AZ21" i="1"/>
  <c r="AZ37" i="1" s="1"/>
  <c r="AY21" i="1"/>
  <c r="AY37" i="1" s="1"/>
  <c r="AV21" i="1"/>
  <c r="AV37" i="1" s="1"/>
  <c r="AU21" i="1"/>
  <c r="AU37" i="1" s="1"/>
  <c r="AR21" i="1"/>
  <c r="AR37" i="1" s="1"/>
  <c r="AQ21" i="1"/>
  <c r="AQ37" i="1" s="1"/>
  <c r="AN21" i="1"/>
  <c r="AN37" i="1" s="1"/>
  <c r="AM21" i="1"/>
  <c r="AM37" i="1" s="1"/>
  <c r="AJ21" i="1"/>
  <c r="AJ37" i="1" s="1"/>
  <c r="AI21" i="1"/>
  <c r="AI37" i="1" s="1"/>
  <c r="AF21" i="1"/>
  <c r="AF37" i="1" s="1"/>
  <c r="AE21" i="1"/>
  <c r="AE37" i="1" s="1"/>
  <c r="AB21" i="1"/>
  <c r="AB37" i="1" s="1"/>
  <c r="AA21" i="1"/>
  <c r="AA37" i="1" s="1"/>
  <c r="X21" i="1"/>
  <c r="X37" i="1" s="1"/>
  <c r="W21" i="1"/>
  <c r="W37" i="1" s="1"/>
  <c r="T21" i="1"/>
  <c r="T37" i="1" s="1"/>
  <c r="S21" i="1"/>
  <c r="S37" i="1" s="1"/>
  <c r="P21" i="1"/>
  <c r="P37" i="1" s="1"/>
  <c r="O21" i="1"/>
  <c r="O37" i="1" s="1"/>
  <c r="L21" i="1"/>
  <c r="L37" i="1" s="1"/>
  <c r="K21" i="1"/>
  <c r="K37" i="1" s="1"/>
  <c r="H21" i="1"/>
  <c r="H37" i="1" s="1"/>
  <c r="G21" i="1"/>
  <c r="G37" i="1" s="1"/>
  <c r="DR19" i="1"/>
  <c r="DN19" i="1"/>
  <c r="DJ19" i="1"/>
  <c r="DF19" i="1"/>
  <c r="DB19" i="1"/>
  <c r="CX19" i="1"/>
  <c r="CT19" i="1"/>
  <c r="CP19" i="1"/>
  <c r="CL19" i="1"/>
  <c r="CH19" i="1"/>
  <c r="CD19" i="1"/>
  <c r="BZ19" i="1"/>
  <c r="BV19" i="1"/>
  <c r="BR19" i="1"/>
  <c r="BN19" i="1"/>
  <c r="BJ19" i="1"/>
  <c r="BF19" i="1"/>
  <c r="BB19" i="1"/>
  <c r="AX19" i="1"/>
  <c r="AT19" i="1"/>
  <c r="AR19" i="1"/>
  <c r="AQ19" i="1"/>
  <c r="AP19" i="1"/>
  <c r="AN19" i="1"/>
  <c r="AM19" i="1"/>
  <c r="AL19" i="1"/>
  <c r="AJ19" i="1"/>
  <c r="AI19" i="1"/>
  <c r="AH19" i="1"/>
  <c r="AF19" i="1"/>
  <c r="AE19" i="1"/>
  <c r="AD19" i="1"/>
  <c r="AB19" i="1"/>
  <c r="AA19" i="1"/>
  <c r="Z19" i="1"/>
  <c r="X19" i="1"/>
  <c r="W19" i="1"/>
  <c r="V19" i="1"/>
  <c r="T19" i="1"/>
  <c r="S19" i="1"/>
  <c r="R19" i="1"/>
  <c r="P19" i="1"/>
  <c r="O19" i="1"/>
  <c r="N19" i="1"/>
  <c r="L19" i="1"/>
  <c r="K19" i="1"/>
  <c r="J19" i="1"/>
  <c r="H19" i="1"/>
  <c r="G19" i="1"/>
  <c r="F19" i="1"/>
  <c r="EA18" i="1"/>
  <c r="DZ18" i="1"/>
  <c r="DX18" i="1"/>
  <c r="DT18" i="1"/>
  <c r="DS18" i="1"/>
  <c r="DP18" i="1"/>
  <c r="DO18" i="1"/>
  <c r="DL18" i="1"/>
  <c r="DK18" i="1"/>
  <c r="DH18" i="1"/>
  <c r="DG18" i="1"/>
  <c r="DD18" i="1"/>
  <c r="DC18" i="1"/>
  <c r="CZ18" i="1"/>
  <c r="CY18" i="1"/>
  <c r="CV18" i="1"/>
  <c r="CU18" i="1"/>
  <c r="CR18" i="1"/>
  <c r="CQ18" i="1"/>
  <c r="CN18" i="1"/>
  <c r="CM18" i="1"/>
  <c r="CJ18" i="1"/>
  <c r="CI18" i="1"/>
  <c r="CF18" i="1"/>
  <c r="CE18" i="1"/>
  <c r="CB18" i="1"/>
  <c r="CA18" i="1"/>
  <c r="BX18" i="1"/>
  <c r="BW18" i="1"/>
  <c r="BT18" i="1"/>
  <c r="BS18" i="1"/>
  <c r="BP18" i="1"/>
  <c r="BO18" i="1"/>
  <c r="BL18" i="1"/>
  <c r="BK18" i="1"/>
  <c r="BH18" i="1"/>
  <c r="BG18" i="1"/>
  <c r="BD18" i="1"/>
  <c r="BC18" i="1"/>
  <c r="AZ18" i="1"/>
  <c r="AY18" i="1"/>
  <c r="AV18" i="1"/>
  <c r="AU18" i="1"/>
  <c r="AR18" i="1"/>
  <c r="AQ18" i="1"/>
  <c r="AN18" i="1"/>
  <c r="AM18" i="1"/>
  <c r="AJ18" i="1"/>
  <c r="AI18" i="1"/>
  <c r="AF18" i="1"/>
  <c r="AE18" i="1"/>
  <c r="AB18" i="1"/>
  <c r="AA18" i="1"/>
  <c r="X18" i="1"/>
  <c r="W18" i="1"/>
  <c r="T18" i="1"/>
  <c r="S18" i="1"/>
  <c r="P18" i="1"/>
  <c r="O18" i="1"/>
  <c r="L18" i="1"/>
  <c r="K18" i="1"/>
  <c r="H18" i="1"/>
  <c r="G18" i="1"/>
  <c r="EA17" i="1"/>
  <c r="DZ17" i="1"/>
  <c r="DX17" i="1"/>
  <c r="DT17" i="1"/>
  <c r="DS17" i="1"/>
  <c r="DP17" i="1"/>
  <c r="DO17" i="1"/>
  <c r="DL17" i="1"/>
  <c r="DK17" i="1"/>
  <c r="DH17" i="1"/>
  <c r="DG17" i="1"/>
  <c r="DD17" i="1"/>
  <c r="DC17" i="1"/>
  <c r="CZ17" i="1"/>
  <c r="CY17" i="1"/>
  <c r="CV17" i="1"/>
  <c r="CU17" i="1"/>
  <c r="CR17" i="1"/>
  <c r="CQ17" i="1"/>
  <c r="CN17" i="1"/>
  <c r="CM17" i="1"/>
  <c r="CJ17" i="1"/>
  <c r="CI17" i="1"/>
  <c r="CF17" i="1"/>
  <c r="CE17" i="1"/>
  <c r="CB17" i="1"/>
  <c r="CA17" i="1"/>
  <c r="BX17" i="1"/>
  <c r="BW17" i="1"/>
  <c r="BT17" i="1"/>
  <c r="BS17" i="1"/>
  <c r="BP17" i="1"/>
  <c r="BO17" i="1"/>
  <c r="BL17" i="1"/>
  <c r="BK17" i="1"/>
  <c r="BH17" i="1"/>
  <c r="BG17" i="1"/>
  <c r="BD17" i="1"/>
  <c r="BC17" i="1"/>
  <c r="AZ17" i="1"/>
  <c r="AY17" i="1"/>
  <c r="AV17" i="1"/>
  <c r="AU17" i="1"/>
  <c r="AR17" i="1"/>
  <c r="AQ17" i="1"/>
  <c r="AN17" i="1"/>
  <c r="AM17" i="1"/>
  <c r="AJ17" i="1"/>
  <c r="AI17" i="1"/>
  <c r="AF17" i="1"/>
  <c r="AE17" i="1"/>
  <c r="AB17" i="1"/>
  <c r="AA17" i="1"/>
  <c r="X17" i="1"/>
  <c r="W17" i="1"/>
  <c r="T17" i="1"/>
  <c r="S17" i="1"/>
  <c r="P17" i="1"/>
  <c r="O17" i="1"/>
  <c r="L17" i="1"/>
  <c r="K17" i="1"/>
  <c r="H17" i="1"/>
  <c r="G17" i="1"/>
  <c r="EA16" i="1"/>
  <c r="DZ16" i="1"/>
  <c r="DX16" i="1"/>
  <c r="DT16" i="1"/>
  <c r="DS16" i="1"/>
  <c r="DP16" i="1"/>
  <c r="DO16" i="1"/>
  <c r="DL16" i="1"/>
  <c r="DK16" i="1"/>
  <c r="DH16" i="1"/>
  <c r="DG16" i="1"/>
  <c r="DD16" i="1"/>
  <c r="DC16" i="1"/>
  <c r="CZ16" i="1"/>
  <c r="CY16" i="1"/>
  <c r="CV16" i="1"/>
  <c r="CU16" i="1"/>
  <c r="CR16" i="1"/>
  <c r="CQ16" i="1"/>
  <c r="CN16" i="1"/>
  <c r="CM16" i="1"/>
  <c r="CJ16" i="1"/>
  <c r="CI16" i="1"/>
  <c r="CF16" i="1"/>
  <c r="CE16" i="1"/>
  <c r="CB16" i="1"/>
  <c r="CA16" i="1"/>
  <c r="BX16" i="1"/>
  <c r="BW16" i="1"/>
  <c r="BT16" i="1"/>
  <c r="BS16" i="1"/>
  <c r="BP16" i="1"/>
  <c r="BO16" i="1"/>
  <c r="BL16" i="1"/>
  <c r="BK16" i="1"/>
  <c r="BH16" i="1"/>
  <c r="BG16" i="1"/>
  <c r="BD16" i="1"/>
  <c r="BC16" i="1"/>
  <c r="AZ16" i="1"/>
  <c r="AY16" i="1"/>
  <c r="AV16" i="1"/>
  <c r="AU16" i="1"/>
  <c r="AR16" i="1"/>
  <c r="AQ16" i="1"/>
  <c r="AN16" i="1"/>
  <c r="AM16" i="1"/>
  <c r="AJ16" i="1"/>
  <c r="AI16" i="1"/>
  <c r="AF16" i="1"/>
  <c r="AE16" i="1"/>
  <c r="AB16" i="1"/>
  <c r="AA16" i="1"/>
  <c r="X16" i="1"/>
  <c r="W16" i="1"/>
  <c r="T16" i="1"/>
  <c r="S16" i="1"/>
  <c r="P16" i="1"/>
  <c r="O16" i="1"/>
  <c r="L16" i="1"/>
  <c r="K16" i="1"/>
  <c r="H16" i="1"/>
  <c r="G16" i="1"/>
  <c r="EA15" i="1"/>
  <c r="DZ15" i="1"/>
  <c r="DX15" i="1"/>
  <c r="DT15" i="1"/>
  <c r="DS15" i="1"/>
  <c r="DP15" i="1"/>
  <c r="DO15" i="1"/>
  <c r="DL15" i="1"/>
  <c r="DK15" i="1"/>
  <c r="DH15" i="1"/>
  <c r="DG15" i="1"/>
  <c r="DD15" i="1"/>
  <c r="DC15" i="1"/>
  <c r="CZ15" i="1"/>
  <c r="CY15" i="1"/>
  <c r="CV15" i="1"/>
  <c r="CU15" i="1"/>
  <c r="CR15" i="1"/>
  <c r="CQ15" i="1"/>
  <c r="CN15" i="1"/>
  <c r="CM15" i="1"/>
  <c r="CJ15" i="1"/>
  <c r="CI15" i="1"/>
  <c r="CF15" i="1"/>
  <c r="CE15" i="1"/>
  <c r="CB15" i="1"/>
  <c r="CA15" i="1"/>
  <c r="BX15" i="1"/>
  <c r="BW15" i="1"/>
  <c r="BT15" i="1"/>
  <c r="BS15" i="1"/>
  <c r="BP15" i="1"/>
  <c r="BO15" i="1"/>
  <c r="BL15" i="1"/>
  <c r="BK15" i="1"/>
  <c r="BH15" i="1"/>
  <c r="BG15" i="1"/>
  <c r="BD15" i="1"/>
  <c r="BC15" i="1"/>
  <c r="AZ15" i="1"/>
  <c r="AY15" i="1"/>
  <c r="AV15" i="1"/>
  <c r="AU15" i="1"/>
  <c r="AR15" i="1"/>
  <c r="AQ15" i="1"/>
  <c r="AN15" i="1"/>
  <c r="AM15" i="1"/>
  <c r="AJ15" i="1"/>
  <c r="AI15" i="1"/>
  <c r="AF15" i="1"/>
  <c r="AE15" i="1"/>
  <c r="AB15" i="1"/>
  <c r="AA15" i="1"/>
  <c r="X15" i="1"/>
  <c r="W15" i="1"/>
  <c r="T15" i="1"/>
  <c r="S15" i="1"/>
  <c r="P15" i="1"/>
  <c r="O15" i="1"/>
  <c r="L15" i="1"/>
  <c r="K15" i="1"/>
  <c r="H15" i="1"/>
  <c r="G15" i="1"/>
  <c r="EA14" i="1"/>
  <c r="DZ14" i="1"/>
  <c r="DX14" i="1"/>
  <c r="DT14" i="1"/>
  <c r="DS14" i="1"/>
  <c r="DP14" i="1"/>
  <c r="DO14" i="1"/>
  <c r="DL14" i="1"/>
  <c r="DK14" i="1"/>
  <c r="DH14" i="1"/>
  <c r="DG14" i="1"/>
  <c r="DD14" i="1"/>
  <c r="DC14" i="1"/>
  <c r="CZ14" i="1"/>
  <c r="CY14" i="1"/>
  <c r="CV14" i="1"/>
  <c r="CU14" i="1"/>
  <c r="CR14" i="1"/>
  <c r="CQ14" i="1"/>
  <c r="CN14" i="1"/>
  <c r="CM14" i="1"/>
  <c r="CJ14" i="1"/>
  <c r="CI14" i="1"/>
  <c r="CF14" i="1"/>
  <c r="CE14" i="1"/>
  <c r="CB14" i="1"/>
  <c r="CA14" i="1"/>
  <c r="BX14" i="1"/>
  <c r="BW14" i="1"/>
  <c r="BT14" i="1"/>
  <c r="BS14" i="1"/>
  <c r="BP14" i="1"/>
  <c r="BO14" i="1"/>
  <c r="BL14" i="1"/>
  <c r="BK14" i="1"/>
  <c r="BH14" i="1"/>
  <c r="BG14" i="1"/>
  <c r="BD14" i="1"/>
  <c r="BC14" i="1"/>
  <c r="AZ14" i="1"/>
  <c r="AY14" i="1"/>
  <c r="AV14" i="1"/>
  <c r="AU14" i="1"/>
  <c r="AR14" i="1"/>
  <c r="AQ14" i="1"/>
  <c r="AN14" i="1"/>
  <c r="AM14" i="1"/>
  <c r="AJ14" i="1"/>
  <c r="AI14" i="1"/>
  <c r="AF14" i="1"/>
  <c r="AE14" i="1"/>
  <c r="AB14" i="1"/>
  <c r="AA14" i="1"/>
  <c r="X14" i="1"/>
  <c r="W14" i="1"/>
  <c r="T14" i="1"/>
  <c r="S14" i="1"/>
  <c r="P14" i="1"/>
  <c r="O14" i="1"/>
  <c r="L14" i="1"/>
  <c r="K14" i="1"/>
  <c r="H14" i="1"/>
  <c r="G14" i="1"/>
  <c r="EA13" i="1"/>
  <c r="DZ13" i="1"/>
  <c r="DX13" i="1"/>
  <c r="DT13" i="1"/>
  <c r="DT19" i="1" s="1"/>
  <c r="DS13" i="1"/>
  <c r="DS19" i="1" s="1"/>
  <c r="DP13" i="1"/>
  <c r="DP19" i="1" s="1"/>
  <c r="DO13" i="1"/>
  <c r="DO19" i="1" s="1"/>
  <c r="DL13" i="1"/>
  <c r="DL19" i="1" s="1"/>
  <c r="DK13" i="1"/>
  <c r="DK19" i="1" s="1"/>
  <c r="DH13" i="1"/>
  <c r="DG13" i="1"/>
  <c r="DD13" i="1"/>
  <c r="DC13" i="1"/>
  <c r="CZ13" i="1"/>
  <c r="CY13" i="1"/>
  <c r="CV13" i="1"/>
  <c r="CU13" i="1"/>
  <c r="CR13" i="1"/>
  <c r="CR19" i="1" s="1"/>
  <c r="CQ13" i="1"/>
  <c r="CQ19" i="1" s="1"/>
  <c r="CN13" i="1"/>
  <c r="CN19" i="1" s="1"/>
  <c r="CM13" i="1"/>
  <c r="CM19" i="1" s="1"/>
  <c r="CJ13" i="1"/>
  <c r="CJ19" i="1" s="1"/>
  <c r="CI13" i="1"/>
  <c r="CI19" i="1" s="1"/>
  <c r="CF13" i="1"/>
  <c r="CF19" i="1" s="1"/>
  <c r="CE13" i="1"/>
  <c r="CE19" i="1" s="1"/>
  <c r="CB13" i="1"/>
  <c r="CB19" i="1" s="1"/>
  <c r="CA13" i="1"/>
  <c r="CA19" i="1" s="1"/>
  <c r="BX13" i="1"/>
  <c r="BX19" i="1" s="1"/>
  <c r="BW13" i="1"/>
  <c r="BW19" i="1" s="1"/>
  <c r="BT13" i="1"/>
  <c r="BT19" i="1" s="1"/>
  <c r="BT75" i="1" s="1"/>
  <c r="F98" i="1" s="1"/>
  <c r="BS13" i="1"/>
  <c r="BS19" i="1" s="1"/>
  <c r="BP13" i="1"/>
  <c r="BP19" i="1" s="1"/>
  <c r="BO13" i="1"/>
  <c r="BO19" i="1" s="1"/>
  <c r="BL13" i="1"/>
  <c r="BL19" i="1" s="1"/>
  <c r="BK13" i="1"/>
  <c r="BK19" i="1" s="1"/>
  <c r="BH13" i="1"/>
  <c r="BH19" i="1" s="1"/>
  <c r="BG13" i="1"/>
  <c r="BG19" i="1" s="1"/>
  <c r="BD13" i="1"/>
  <c r="BD19" i="1" s="1"/>
  <c r="BC13" i="1"/>
  <c r="BC19" i="1" s="1"/>
  <c r="AZ13" i="1"/>
  <c r="AZ19" i="1" s="1"/>
  <c r="AY13" i="1"/>
  <c r="AY19" i="1" s="1"/>
  <c r="AV13" i="1"/>
  <c r="AV19" i="1" s="1"/>
  <c r="AU13" i="1"/>
  <c r="AU19" i="1" s="1"/>
  <c r="AR13" i="1"/>
  <c r="AQ13" i="1"/>
  <c r="AN13" i="1"/>
  <c r="AM13" i="1"/>
  <c r="AJ13" i="1"/>
  <c r="AI13" i="1"/>
  <c r="AF13" i="1"/>
  <c r="AE13" i="1"/>
  <c r="AB13" i="1"/>
  <c r="AA13" i="1"/>
  <c r="X13" i="1"/>
  <c r="W13" i="1"/>
  <c r="T13" i="1"/>
  <c r="S13" i="1"/>
  <c r="P13" i="1"/>
  <c r="O13" i="1"/>
  <c r="L13" i="1"/>
  <c r="K13" i="1"/>
  <c r="H13" i="1"/>
  <c r="G13" i="1"/>
  <c r="EA12" i="1"/>
  <c r="DZ12" i="1"/>
  <c r="DX12" i="1"/>
  <c r="DT12" i="1"/>
  <c r="DS12" i="1"/>
  <c r="DP12" i="1"/>
  <c r="DO12" i="1"/>
  <c r="DL12" i="1"/>
  <c r="DK12" i="1"/>
  <c r="DH12" i="1"/>
  <c r="DG12" i="1"/>
  <c r="DD12" i="1"/>
  <c r="DC12" i="1"/>
  <c r="CZ12" i="1"/>
  <c r="CY12" i="1"/>
  <c r="CV12" i="1"/>
  <c r="CU12" i="1"/>
  <c r="CR12" i="1"/>
  <c r="CQ12" i="1"/>
  <c r="CN12" i="1"/>
  <c r="CM12" i="1"/>
  <c r="CJ12" i="1"/>
  <c r="CI12" i="1"/>
  <c r="CF12" i="1"/>
  <c r="CE12" i="1"/>
  <c r="CB12" i="1"/>
  <c r="CA12" i="1"/>
  <c r="BX12" i="1"/>
  <c r="BW12" i="1"/>
  <c r="BT12" i="1"/>
  <c r="BS12" i="1"/>
  <c r="BP12" i="1"/>
  <c r="BO12" i="1"/>
  <c r="BL12" i="1"/>
  <c r="BK12" i="1"/>
  <c r="BH12" i="1"/>
  <c r="BG12" i="1"/>
  <c r="BD12" i="1"/>
  <c r="BC12" i="1"/>
  <c r="AZ12" i="1"/>
  <c r="AY12" i="1"/>
  <c r="AV12" i="1"/>
  <c r="AU12" i="1"/>
  <c r="AR12" i="1"/>
  <c r="AQ12" i="1"/>
  <c r="AN12" i="1"/>
  <c r="AM12" i="1"/>
  <c r="AJ12" i="1"/>
  <c r="AI12" i="1"/>
  <c r="AF12" i="1"/>
  <c r="AE12" i="1"/>
  <c r="AB12" i="1"/>
  <c r="AA12" i="1"/>
  <c r="X12" i="1"/>
  <c r="W12" i="1"/>
  <c r="T12" i="1"/>
  <c r="S12" i="1"/>
  <c r="P12" i="1"/>
  <c r="O12" i="1"/>
  <c r="L12" i="1"/>
  <c r="K12" i="1"/>
  <c r="H12" i="1"/>
  <c r="G12" i="1"/>
  <c r="EA11" i="1"/>
  <c r="DZ11" i="1"/>
  <c r="DX11" i="1"/>
  <c r="DT11" i="1"/>
  <c r="DS11" i="1"/>
  <c r="DP11" i="1"/>
  <c r="DO11" i="1"/>
  <c r="DL11" i="1"/>
  <c r="DK11" i="1"/>
  <c r="DH11" i="1"/>
  <c r="DG11" i="1"/>
  <c r="DD11" i="1"/>
  <c r="DC11" i="1"/>
  <c r="CZ11" i="1"/>
  <c r="CY11" i="1"/>
  <c r="CV11" i="1"/>
  <c r="CU11" i="1"/>
  <c r="CR11" i="1"/>
  <c r="CQ11" i="1"/>
  <c r="CN11" i="1"/>
  <c r="CM11" i="1"/>
  <c r="CJ11" i="1"/>
  <c r="CI11" i="1"/>
  <c r="CF11" i="1"/>
  <c r="CE11" i="1"/>
  <c r="CB11" i="1"/>
  <c r="CA11" i="1"/>
  <c r="BX11" i="1"/>
  <c r="BW11" i="1"/>
  <c r="BT11" i="1"/>
  <c r="BS11" i="1"/>
  <c r="BP11" i="1"/>
  <c r="BO11" i="1"/>
  <c r="BL11" i="1"/>
  <c r="BK11" i="1"/>
  <c r="BH11" i="1"/>
  <c r="BG11" i="1"/>
  <c r="BD11" i="1"/>
  <c r="BC11" i="1"/>
  <c r="AZ11" i="1"/>
  <c r="AY11" i="1"/>
  <c r="AV11" i="1"/>
  <c r="AU11" i="1"/>
  <c r="AR11" i="1"/>
  <c r="AQ11" i="1"/>
  <c r="AN11" i="1"/>
  <c r="AM11" i="1"/>
  <c r="AJ11" i="1"/>
  <c r="AI11" i="1"/>
  <c r="AF11" i="1"/>
  <c r="AE11" i="1"/>
  <c r="AB11" i="1"/>
  <c r="AA11" i="1"/>
  <c r="X11" i="1"/>
  <c r="W11" i="1"/>
  <c r="T11" i="1"/>
  <c r="S11" i="1"/>
  <c r="P11" i="1"/>
  <c r="O11" i="1"/>
  <c r="L11" i="1"/>
  <c r="K11" i="1"/>
  <c r="H11" i="1"/>
  <c r="G11" i="1"/>
  <c r="EA10" i="1"/>
  <c r="DZ10" i="1"/>
  <c r="DX10" i="1"/>
  <c r="DT10" i="1"/>
  <c r="DS10" i="1"/>
  <c r="DP10" i="1"/>
  <c r="DO10" i="1"/>
  <c r="DL10" i="1"/>
  <c r="DK10" i="1"/>
  <c r="DH10" i="1"/>
  <c r="DG10" i="1"/>
  <c r="DD10" i="1"/>
  <c r="DC10" i="1"/>
  <c r="CZ10" i="1"/>
  <c r="CY10" i="1"/>
  <c r="CV10" i="1"/>
  <c r="CU10" i="1"/>
  <c r="CR10" i="1"/>
  <c r="CQ10" i="1"/>
  <c r="CN10" i="1"/>
  <c r="CM10" i="1"/>
  <c r="CJ10" i="1"/>
  <c r="CI10" i="1"/>
  <c r="CF10" i="1"/>
  <c r="CE10" i="1"/>
  <c r="CB10" i="1"/>
  <c r="CA10" i="1"/>
  <c r="BX10" i="1"/>
  <c r="BW10" i="1"/>
  <c r="BT10" i="1"/>
  <c r="BS10" i="1"/>
  <c r="BP10" i="1"/>
  <c r="BO10" i="1"/>
  <c r="BL10" i="1"/>
  <c r="BK10" i="1"/>
  <c r="BH10" i="1"/>
  <c r="BG10" i="1"/>
  <c r="BD10" i="1"/>
  <c r="BC10" i="1"/>
  <c r="AZ10" i="1"/>
  <c r="AY10" i="1"/>
  <c r="AV10" i="1"/>
  <c r="AU10" i="1"/>
  <c r="AR10" i="1"/>
  <c r="AQ10" i="1"/>
  <c r="AN10" i="1"/>
  <c r="AM10" i="1"/>
  <c r="AJ10" i="1"/>
  <c r="AI10" i="1"/>
  <c r="AF10" i="1"/>
  <c r="AE10" i="1"/>
  <c r="AB10" i="1"/>
  <c r="AA10" i="1"/>
  <c r="X10" i="1"/>
  <c r="W10" i="1"/>
  <c r="T10" i="1"/>
  <c r="S10" i="1"/>
  <c r="P10" i="1"/>
  <c r="O10" i="1"/>
  <c r="L10" i="1"/>
  <c r="K10" i="1"/>
  <c r="H10" i="1"/>
  <c r="G10" i="1"/>
  <c r="EA9" i="1"/>
  <c r="DZ9" i="1"/>
  <c r="DX9" i="1"/>
  <c r="DT9" i="1"/>
  <c r="DS9" i="1"/>
  <c r="DP9" i="1"/>
  <c r="DO9" i="1"/>
  <c r="DL9" i="1"/>
  <c r="DK9" i="1"/>
  <c r="DH9" i="1"/>
  <c r="DG9" i="1"/>
  <c r="DD9" i="1"/>
  <c r="DC9" i="1"/>
  <c r="CZ9" i="1"/>
  <c r="CY9" i="1"/>
  <c r="CV9" i="1"/>
  <c r="CU9" i="1"/>
  <c r="CR9" i="1"/>
  <c r="CQ9" i="1"/>
  <c r="CN9" i="1"/>
  <c r="CM9" i="1"/>
  <c r="CJ9" i="1"/>
  <c r="CI9" i="1"/>
  <c r="CF9" i="1"/>
  <c r="CE9" i="1"/>
  <c r="CB9" i="1"/>
  <c r="CA9" i="1"/>
  <c r="BX9" i="1"/>
  <c r="BW9" i="1"/>
  <c r="BT9" i="1"/>
  <c r="BS9" i="1"/>
  <c r="BP9" i="1"/>
  <c r="BO9" i="1"/>
  <c r="BL9" i="1"/>
  <c r="BK9" i="1"/>
  <c r="BH9" i="1"/>
  <c r="BG9" i="1"/>
  <c r="BD9" i="1"/>
  <c r="BC9" i="1"/>
  <c r="AZ9" i="1"/>
  <c r="AY9" i="1"/>
  <c r="AV9" i="1"/>
  <c r="AU9" i="1"/>
  <c r="AR9" i="1"/>
  <c r="AQ9" i="1"/>
  <c r="AN9" i="1"/>
  <c r="AM9" i="1"/>
  <c r="AJ9" i="1"/>
  <c r="AI9" i="1"/>
  <c r="AF9" i="1"/>
  <c r="AE9" i="1"/>
  <c r="AB9" i="1"/>
  <c r="AA9" i="1"/>
  <c r="X9" i="1"/>
  <c r="W9" i="1"/>
  <c r="T9" i="1"/>
  <c r="S9" i="1"/>
  <c r="P9" i="1"/>
  <c r="O9" i="1"/>
  <c r="L9" i="1"/>
  <c r="K9" i="1"/>
  <c r="H9" i="1"/>
  <c r="G9" i="1"/>
  <c r="EA8" i="1"/>
  <c r="DZ8" i="1"/>
  <c r="DX8" i="1"/>
  <c r="DT8" i="1"/>
  <c r="DS8" i="1"/>
  <c r="DP8" i="1"/>
  <c r="DO8" i="1"/>
  <c r="DL8" i="1"/>
  <c r="DK8" i="1"/>
  <c r="DH8" i="1"/>
  <c r="DG8" i="1"/>
  <c r="DD8" i="1"/>
  <c r="DC8" i="1"/>
  <c r="CZ8" i="1"/>
  <c r="CY8" i="1"/>
  <c r="CV8" i="1"/>
  <c r="CU8" i="1"/>
  <c r="CR8" i="1"/>
  <c r="CQ8" i="1"/>
  <c r="CN8" i="1"/>
  <c r="CM8" i="1"/>
  <c r="CJ8" i="1"/>
  <c r="CI8" i="1"/>
  <c r="CF8" i="1"/>
  <c r="CE8" i="1"/>
  <c r="CB8" i="1"/>
  <c r="CA8" i="1"/>
  <c r="BX8" i="1"/>
  <c r="BW8" i="1"/>
  <c r="BT8" i="1"/>
  <c r="BS8" i="1"/>
  <c r="BP8" i="1"/>
  <c r="BO8" i="1"/>
  <c r="BL8" i="1"/>
  <c r="BK8" i="1"/>
  <c r="BH8" i="1"/>
  <c r="BG8" i="1"/>
  <c r="BD8" i="1"/>
  <c r="BC8" i="1"/>
  <c r="AZ8" i="1"/>
  <c r="AY8" i="1"/>
  <c r="AV8" i="1"/>
  <c r="AU8" i="1"/>
  <c r="AR8" i="1"/>
  <c r="AQ8" i="1"/>
  <c r="AN8" i="1"/>
  <c r="AM8" i="1"/>
  <c r="AJ8" i="1"/>
  <c r="AI8" i="1"/>
  <c r="AF8" i="1"/>
  <c r="AE8" i="1"/>
  <c r="AB8" i="1"/>
  <c r="AA8" i="1"/>
  <c r="X8" i="1"/>
  <c r="W8" i="1"/>
  <c r="T8" i="1"/>
  <c r="S8" i="1"/>
  <c r="P8" i="1"/>
  <c r="O8" i="1"/>
  <c r="L8" i="1"/>
  <c r="K8" i="1"/>
  <c r="H8" i="1"/>
  <c r="G8" i="1"/>
  <c r="EA7" i="1"/>
  <c r="DZ7" i="1"/>
  <c r="DX7" i="1"/>
  <c r="DT7" i="1"/>
  <c r="DS7" i="1"/>
  <c r="DP7" i="1"/>
  <c r="DO7" i="1"/>
  <c r="DL7" i="1"/>
  <c r="DK7" i="1"/>
  <c r="DH7" i="1"/>
  <c r="DG7" i="1"/>
  <c r="DD7" i="1"/>
  <c r="DC7" i="1"/>
  <c r="CZ7" i="1"/>
  <c r="CY7" i="1"/>
  <c r="CV7" i="1"/>
  <c r="CU7" i="1"/>
  <c r="CR7" i="1"/>
  <c r="CQ7" i="1"/>
  <c r="CN7" i="1"/>
  <c r="CM7" i="1"/>
  <c r="CJ7" i="1"/>
  <c r="CI7" i="1"/>
  <c r="CF7" i="1"/>
  <c r="CE7" i="1"/>
  <c r="CB7" i="1"/>
  <c r="CA7" i="1"/>
  <c r="BX7" i="1"/>
  <c r="BW7" i="1"/>
  <c r="BT7" i="1"/>
  <c r="BS7" i="1"/>
  <c r="BP7" i="1"/>
  <c r="BO7" i="1"/>
  <c r="BL7" i="1"/>
  <c r="BK7" i="1"/>
  <c r="BH7" i="1"/>
  <c r="BG7" i="1"/>
  <c r="BD7" i="1"/>
  <c r="BC7" i="1"/>
  <c r="AZ7" i="1"/>
  <c r="AY7" i="1"/>
  <c r="AV7" i="1"/>
  <c r="AU7" i="1"/>
  <c r="AR7" i="1"/>
  <c r="AQ7" i="1"/>
  <c r="AN7" i="1"/>
  <c r="AM7" i="1"/>
  <c r="AJ7" i="1"/>
  <c r="AI7" i="1"/>
  <c r="AF7" i="1"/>
  <c r="AE7" i="1"/>
  <c r="AB7" i="1"/>
  <c r="AA7" i="1"/>
  <c r="X7" i="1"/>
  <c r="W7" i="1"/>
  <c r="T7" i="1"/>
  <c r="S7" i="1"/>
  <c r="P7" i="1"/>
  <c r="O7" i="1"/>
  <c r="L7" i="1"/>
  <c r="K7" i="1"/>
  <c r="H7" i="1"/>
  <c r="G7" i="1"/>
  <c r="EA6" i="1"/>
  <c r="DZ6" i="1"/>
  <c r="DX6" i="1"/>
  <c r="DT6" i="1"/>
  <c r="DS6" i="1"/>
  <c r="DP6" i="1"/>
  <c r="DO6" i="1"/>
  <c r="DL6" i="1"/>
  <c r="DK6" i="1"/>
  <c r="DH6" i="1"/>
  <c r="DG6" i="1"/>
  <c r="DD6" i="1"/>
  <c r="DC6" i="1"/>
  <c r="CZ6" i="1"/>
  <c r="CY6" i="1"/>
  <c r="CV6" i="1"/>
  <c r="CU6" i="1"/>
  <c r="CR6" i="1"/>
  <c r="CQ6" i="1"/>
  <c r="CN6" i="1"/>
  <c r="CM6" i="1"/>
  <c r="CJ6" i="1"/>
  <c r="CI6" i="1"/>
  <c r="CF6" i="1"/>
  <c r="CE6" i="1"/>
  <c r="CB6" i="1"/>
  <c r="CA6" i="1"/>
  <c r="BX6" i="1"/>
  <c r="BW6" i="1"/>
  <c r="BT6" i="1"/>
  <c r="BS6" i="1"/>
  <c r="BP6" i="1"/>
  <c r="BO6" i="1"/>
  <c r="BL6" i="1"/>
  <c r="BK6" i="1"/>
  <c r="BH6" i="1"/>
  <c r="BG6" i="1"/>
  <c r="BD6" i="1"/>
  <c r="BC6" i="1"/>
  <c r="AZ6" i="1"/>
  <c r="AY6" i="1"/>
  <c r="AV6" i="1"/>
  <c r="AU6" i="1"/>
  <c r="AR6" i="1"/>
  <c r="AQ6" i="1"/>
  <c r="AN6" i="1"/>
  <c r="AM6" i="1"/>
  <c r="AJ6" i="1"/>
  <c r="AI6" i="1"/>
  <c r="AF6" i="1"/>
  <c r="AE6" i="1"/>
  <c r="AB6" i="1"/>
  <c r="AA6" i="1"/>
  <c r="X6" i="1"/>
  <c r="W6" i="1"/>
  <c r="T6" i="1"/>
  <c r="S6" i="1"/>
  <c r="P6" i="1"/>
  <c r="O6" i="1"/>
  <c r="L6" i="1"/>
  <c r="K6" i="1"/>
  <c r="H6" i="1"/>
  <c r="G6" i="1"/>
  <c r="EA5" i="1"/>
  <c r="DZ5" i="1"/>
  <c r="DX5" i="1"/>
  <c r="DT5" i="1"/>
  <c r="DS5" i="1"/>
  <c r="DP5" i="1"/>
  <c r="DO5" i="1"/>
  <c r="DL5" i="1"/>
  <c r="DK5" i="1"/>
  <c r="DH5" i="1"/>
  <c r="DG5" i="1"/>
  <c r="DD5" i="1"/>
  <c r="DC5" i="1"/>
  <c r="CZ5" i="1"/>
  <c r="CY5" i="1"/>
  <c r="CV5" i="1"/>
  <c r="CU5" i="1"/>
  <c r="CR5" i="1"/>
  <c r="CQ5" i="1"/>
  <c r="CN5" i="1"/>
  <c r="CM5" i="1"/>
  <c r="CJ5" i="1"/>
  <c r="CI5" i="1"/>
  <c r="CF5" i="1"/>
  <c r="CE5" i="1"/>
  <c r="CB5" i="1"/>
  <c r="CA5" i="1"/>
  <c r="BX5" i="1"/>
  <c r="BW5" i="1"/>
  <c r="BT5" i="1"/>
  <c r="BS5" i="1"/>
  <c r="BP5" i="1"/>
  <c r="BO5" i="1"/>
  <c r="BL5" i="1"/>
  <c r="BK5" i="1"/>
  <c r="BH5" i="1"/>
  <c r="BG5" i="1"/>
  <c r="BD5" i="1"/>
  <c r="BC5" i="1"/>
  <c r="AZ5" i="1"/>
  <c r="AY5" i="1"/>
  <c r="AV5" i="1"/>
  <c r="AU5" i="1"/>
  <c r="AR5" i="1"/>
  <c r="AQ5" i="1"/>
  <c r="AN5" i="1"/>
  <c r="AM5" i="1"/>
  <c r="AJ5" i="1"/>
  <c r="AI5" i="1"/>
  <c r="AF5" i="1"/>
  <c r="AE5" i="1"/>
  <c r="AB5" i="1"/>
  <c r="AA5" i="1"/>
  <c r="X5" i="1"/>
  <c r="W5" i="1"/>
  <c r="T5" i="1"/>
  <c r="S5" i="1"/>
  <c r="P5" i="1"/>
  <c r="O5" i="1"/>
  <c r="L5" i="1"/>
  <c r="K5" i="1"/>
  <c r="H5" i="1"/>
  <c r="G5" i="1"/>
  <c r="EA4" i="1"/>
  <c r="DZ4" i="1"/>
  <c r="DX4" i="1"/>
  <c r="DT4" i="1"/>
  <c r="DS4" i="1"/>
  <c r="DP4" i="1"/>
  <c r="DO4" i="1"/>
  <c r="DL4" i="1"/>
  <c r="DK4" i="1"/>
  <c r="DH4" i="1"/>
  <c r="DG4" i="1"/>
  <c r="DD4" i="1"/>
  <c r="DC4" i="1"/>
  <c r="CZ4" i="1"/>
  <c r="CY4" i="1"/>
  <c r="CV4" i="1"/>
  <c r="CU4" i="1"/>
  <c r="CR4" i="1"/>
  <c r="CQ4" i="1"/>
  <c r="CN4" i="1"/>
  <c r="CM4" i="1"/>
  <c r="CJ4" i="1"/>
  <c r="CI4" i="1"/>
  <c r="CF4" i="1"/>
  <c r="CE4" i="1"/>
  <c r="CB4" i="1"/>
  <c r="CA4" i="1"/>
  <c r="BX4" i="1"/>
  <c r="BW4" i="1"/>
  <c r="BT4" i="1"/>
  <c r="BS4" i="1"/>
  <c r="BP4" i="1"/>
  <c r="BO4" i="1"/>
  <c r="BL4" i="1"/>
  <c r="BK4" i="1"/>
  <c r="BH4" i="1"/>
  <c r="BG4" i="1"/>
  <c r="BD4" i="1"/>
  <c r="BC4" i="1"/>
  <c r="AZ4" i="1"/>
  <c r="AY4" i="1"/>
  <c r="AV4" i="1"/>
  <c r="AU4" i="1"/>
  <c r="AR4" i="1"/>
  <c r="AQ4" i="1"/>
  <c r="AN4" i="1"/>
  <c r="AM4" i="1"/>
  <c r="AJ4" i="1"/>
  <c r="AI4" i="1"/>
  <c r="AF4" i="1"/>
  <c r="AE4" i="1"/>
  <c r="AB4" i="1"/>
  <c r="AA4" i="1"/>
  <c r="X4" i="1"/>
  <c r="W4" i="1"/>
  <c r="T4" i="1"/>
  <c r="S4" i="1"/>
  <c r="P4" i="1"/>
  <c r="O4" i="1"/>
  <c r="L4" i="1"/>
  <c r="K4" i="1"/>
  <c r="H4" i="1"/>
  <c r="G4" i="1"/>
  <c r="EA3" i="1"/>
  <c r="DZ3" i="1"/>
  <c r="DX3" i="1"/>
  <c r="DT3" i="1"/>
  <c r="DS3" i="1"/>
  <c r="DP3" i="1"/>
  <c r="DO3" i="1"/>
  <c r="DL3" i="1"/>
  <c r="DK3" i="1"/>
  <c r="DH3" i="1"/>
  <c r="DG3" i="1"/>
  <c r="DD3" i="1"/>
  <c r="DC3" i="1"/>
  <c r="CZ3" i="1"/>
  <c r="CY3" i="1"/>
  <c r="CV3" i="1"/>
  <c r="CU3" i="1"/>
  <c r="CR3" i="1"/>
  <c r="CQ3" i="1"/>
  <c r="CN3" i="1"/>
  <c r="CM3" i="1"/>
  <c r="CJ3" i="1"/>
  <c r="CI3" i="1"/>
  <c r="CF3" i="1"/>
  <c r="CE3" i="1"/>
  <c r="CB3" i="1"/>
  <c r="CA3" i="1"/>
  <c r="BX3" i="1"/>
  <c r="BW3" i="1"/>
  <c r="BT3" i="1"/>
  <c r="BS3" i="1"/>
  <c r="BP3" i="1"/>
  <c r="BO3" i="1"/>
  <c r="BL3" i="1"/>
  <c r="BK3" i="1"/>
  <c r="BH3" i="1"/>
  <c r="BG3" i="1"/>
  <c r="BD3" i="1"/>
  <c r="BC3" i="1"/>
  <c r="AZ3" i="1"/>
  <c r="AY3" i="1"/>
  <c r="AV3" i="1"/>
  <c r="AU3" i="1"/>
  <c r="AR3" i="1"/>
  <c r="AQ3" i="1"/>
  <c r="AN3" i="1"/>
  <c r="AM3" i="1"/>
  <c r="AJ3" i="1"/>
  <c r="AI3" i="1"/>
  <c r="AF3" i="1"/>
  <c r="AE3" i="1"/>
  <c r="AB3" i="1"/>
  <c r="AA3" i="1"/>
  <c r="X3" i="1"/>
  <c r="W3" i="1"/>
  <c r="T3" i="1"/>
  <c r="S3" i="1"/>
  <c r="P3" i="1"/>
  <c r="O3" i="1"/>
  <c r="L3" i="1"/>
  <c r="K3" i="1"/>
  <c r="H3" i="1"/>
  <c r="G3" i="1"/>
  <c r="DG73" i="1" l="1"/>
  <c r="DH73" i="1"/>
  <c r="DH55" i="1"/>
  <c r="DG55" i="1"/>
  <c r="DF75" i="1"/>
  <c r="DH19" i="1"/>
  <c r="DH75" i="1" s="1"/>
  <c r="F108" i="1" s="1"/>
  <c r="DG19" i="1"/>
  <c r="DG75" i="1" s="1"/>
  <c r="C108" i="1" s="1"/>
  <c r="DD73" i="1"/>
  <c r="DC73" i="1"/>
  <c r="DC55" i="1"/>
  <c r="DD55" i="1"/>
  <c r="DB75" i="1"/>
  <c r="DD19" i="1"/>
  <c r="DD75" i="1" s="1"/>
  <c r="F107" i="1" s="1"/>
  <c r="DC19" i="1"/>
  <c r="DC75" i="1" s="1"/>
  <c r="C107" i="1" s="1"/>
  <c r="CZ73" i="1"/>
  <c r="CY73" i="1"/>
  <c r="CZ55" i="1"/>
  <c r="CY55" i="1"/>
  <c r="CX75" i="1"/>
  <c r="CY19" i="1"/>
  <c r="CY75" i="1" s="1"/>
  <c r="C106" i="1" s="1"/>
  <c r="CZ19" i="1"/>
  <c r="CZ75" i="1" s="1"/>
  <c r="F106" i="1" s="1"/>
  <c r="CU73" i="1"/>
  <c r="CV73" i="1"/>
  <c r="CT75" i="1"/>
  <c r="CV55" i="1"/>
  <c r="CV37" i="1"/>
  <c r="CV19" i="1"/>
  <c r="CU19" i="1"/>
  <c r="CU75" i="1" s="1"/>
  <c r="C105" i="1" s="1"/>
  <c r="BD156" i="1"/>
  <c r="BB156" i="1"/>
  <c r="BH156" i="1"/>
  <c r="BJ156" i="1"/>
  <c r="BL156" i="1"/>
  <c r="BF156" i="1"/>
  <c r="BB138" i="1"/>
  <c r="BD138" i="1"/>
  <c r="BL138" i="1"/>
  <c r="BF138" i="1"/>
  <c r="BJ138" i="1"/>
  <c r="BH138" i="1"/>
  <c r="BB120" i="1"/>
  <c r="BF120" i="1"/>
  <c r="BJ120" i="1"/>
  <c r="BD120" i="1"/>
  <c r="BH120" i="1"/>
  <c r="BL120" i="1"/>
  <c r="BB102" i="1"/>
  <c r="BD102" i="1"/>
  <c r="BF102" i="1"/>
  <c r="BH102" i="1"/>
  <c r="BL102" i="1"/>
  <c r="BJ102" i="1"/>
  <c r="BL75" i="1"/>
  <c r="F96" i="1" s="1"/>
  <c r="AY75" i="1"/>
  <c r="C93" i="1" s="1"/>
  <c r="AZ75" i="1"/>
  <c r="F93" i="1" s="1"/>
  <c r="BG75" i="1"/>
  <c r="C95" i="1" s="1"/>
  <c r="AA75" i="1"/>
  <c r="C87" i="1" s="1"/>
  <c r="L75" i="1"/>
  <c r="F83" i="1" s="1"/>
  <c r="CR75" i="1"/>
  <c r="F104" i="1" s="1"/>
  <c r="CB75" i="1"/>
  <c r="F100" i="1" s="1"/>
  <c r="BP75" i="1"/>
  <c r="F97" i="1" s="1"/>
  <c r="BC75" i="1"/>
  <c r="C94" i="1" s="1"/>
  <c r="AQ75" i="1"/>
  <c r="C91" i="1" s="1"/>
  <c r="AN75" i="1"/>
  <c r="F90" i="1" s="1"/>
  <c r="AI75" i="1"/>
  <c r="C89" i="1" s="1"/>
  <c r="AF75" i="1"/>
  <c r="F88" i="1" s="1"/>
  <c r="AB75" i="1"/>
  <c r="F87" i="1" s="1"/>
  <c r="W75" i="1"/>
  <c r="C86" i="1" s="1"/>
  <c r="S75" i="1"/>
  <c r="C85" i="1" s="1"/>
  <c r="O75" i="1"/>
  <c r="C84" i="1" s="1"/>
  <c r="K75" i="1"/>
  <c r="C83" i="1" s="1"/>
  <c r="CQ75" i="1"/>
  <c r="C104" i="1" s="1"/>
  <c r="CJ75" i="1"/>
  <c r="F102" i="1" s="1"/>
  <c r="CE75" i="1"/>
  <c r="C101" i="1" s="1"/>
  <c r="BX75" i="1"/>
  <c r="F99" i="1" s="1"/>
  <c r="AV75" i="1"/>
  <c r="F92" i="1" s="1"/>
  <c r="AR75" i="1"/>
  <c r="F91" i="1" s="1"/>
  <c r="AM75" i="1"/>
  <c r="C90" i="1" s="1"/>
  <c r="AJ75" i="1"/>
  <c r="F89" i="1" s="1"/>
  <c r="AE75" i="1"/>
  <c r="C88" i="1" s="1"/>
  <c r="X75" i="1"/>
  <c r="F86" i="1" s="1"/>
  <c r="T75" i="1"/>
  <c r="F85" i="1" s="1"/>
  <c r="P75" i="1"/>
  <c r="F84" i="1" s="1"/>
  <c r="H75" i="1"/>
  <c r="F82" i="1" s="1"/>
  <c r="G75" i="1"/>
  <c r="C82" i="1" s="1"/>
  <c r="CN75" i="1"/>
  <c r="F103" i="1" s="1"/>
  <c r="CI75" i="1"/>
  <c r="C102" i="1" s="1"/>
  <c r="CF75" i="1"/>
  <c r="F101" i="1" s="1"/>
  <c r="CA75" i="1"/>
  <c r="C100" i="1" s="1"/>
  <c r="BS75" i="1"/>
  <c r="C98" i="1" s="1"/>
  <c r="BO75" i="1"/>
  <c r="C97" i="1" s="1"/>
  <c r="BH75" i="1"/>
  <c r="F95" i="1" s="1"/>
  <c r="BD75" i="1"/>
  <c r="F94" i="1" s="1"/>
  <c r="DT75" i="1"/>
  <c r="F111" i="1" s="1"/>
  <c r="DS75" i="1"/>
  <c r="C111" i="1" s="1"/>
  <c r="DP75" i="1"/>
  <c r="F110" i="1" s="1"/>
  <c r="DO75" i="1"/>
  <c r="C110" i="1" s="1"/>
  <c r="DL75" i="1"/>
  <c r="F109" i="1" s="1"/>
  <c r="DK75" i="1"/>
  <c r="C109" i="1" s="1"/>
  <c r="CM75" i="1"/>
  <c r="C103" i="1" s="1"/>
  <c r="BW75" i="1"/>
  <c r="C99" i="1" s="1"/>
  <c r="BK75" i="1"/>
  <c r="C96" i="1" s="1"/>
  <c r="AU75" i="1"/>
  <c r="C92" i="1" s="1"/>
  <c r="H106" i="1" l="1"/>
  <c r="CV75" i="1"/>
  <c r="F105" i="1" s="1"/>
  <c r="H102" i="1"/>
  <c r="H82" i="1"/>
  <c r="BB158" i="1"/>
  <c r="BJ158" i="1"/>
  <c r="BD158" i="1"/>
  <c r="BF158" i="1"/>
  <c r="BH158" i="1"/>
  <c r="BL158" i="1"/>
  <c r="H93" i="1"/>
  <c r="H89" i="1"/>
  <c r="H104" i="1"/>
  <c r="H85" i="1"/>
  <c r="H84" i="1"/>
  <c r="H83" i="1"/>
  <c r="H90" i="1"/>
  <c r="H88" i="1"/>
  <c r="H100" i="1"/>
  <c r="H98" i="1"/>
  <c r="H97" i="1"/>
  <c r="H103" i="1"/>
  <c r="H96" i="1"/>
  <c r="H87" i="1"/>
  <c r="H94" i="1"/>
  <c r="H101" i="1"/>
  <c r="H105" i="1"/>
  <c r="H111" i="1"/>
  <c r="H110" i="1"/>
  <c r="H109" i="1"/>
  <c r="H108" i="1"/>
  <c r="H92" i="1"/>
  <c r="H95" i="1"/>
  <c r="H91" i="1"/>
  <c r="H107" i="1"/>
  <c r="H99" i="1"/>
  <c r="H86" i="1"/>
</calcChain>
</file>

<file path=xl/sharedStrings.xml><?xml version="1.0" encoding="utf-8"?>
<sst xmlns="http://schemas.openxmlformats.org/spreadsheetml/2006/main" count="495" uniqueCount="145">
  <si>
    <t>Larry Levy</t>
  </si>
  <si>
    <t>John Sniezek</t>
  </si>
  <si>
    <t>Chris Walz</t>
  </si>
  <si>
    <t>Matt Kemeny</t>
  </si>
  <si>
    <t>Brian Stoops</t>
  </si>
  <si>
    <t>Damon Gulczynski</t>
  </si>
  <si>
    <t>Grant Lippy</t>
  </si>
  <si>
    <t>James McKeown</t>
  </si>
  <si>
    <t>Jared Ashton</t>
  </si>
  <si>
    <t>Jeff Coull</t>
  </si>
  <si>
    <t>Matt Umland</t>
  </si>
  <si>
    <t>Kris Culotta</t>
  </si>
  <si>
    <t>Noah Keenan</t>
  </si>
  <si>
    <t>Terence Wong</t>
  </si>
  <si>
    <t>Mike Santoro</t>
  </si>
  <si>
    <t>Ben Dressing</t>
  </si>
  <si>
    <t>Difficulty</t>
  </si>
  <si>
    <t>Seed</t>
  </si>
  <si>
    <t>Team</t>
  </si>
  <si>
    <t>Wins</t>
  </si>
  <si>
    <t>In</t>
  </si>
  <si>
    <t>Rank</t>
  </si>
  <si>
    <t>Pts</t>
  </si>
  <si>
    <t>Pot.</t>
  </si>
  <si>
    <t>Measure</t>
  </si>
  <si>
    <t>Max</t>
  </si>
  <si>
    <t>Min</t>
  </si>
  <si>
    <t>Duke</t>
  </si>
  <si>
    <t>Siena</t>
  </si>
  <si>
    <t>Ohio St.</t>
  </si>
  <si>
    <t>TCU</t>
  </si>
  <si>
    <t>St.John's</t>
  </si>
  <si>
    <t>Northern Iowa</t>
  </si>
  <si>
    <t>Kansas</t>
  </si>
  <si>
    <t>Cal Baptist</t>
  </si>
  <si>
    <t>Louisville</t>
  </si>
  <si>
    <t>South Florida</t>
  </si>
  <si>
    <t>Michigan St.</t>
  </si>
  <si>
    <t>North Dakota St.</t>
  </si>
  <si>
    <t>UCLA</t>
  </si>
  <si>
    <t>UCF</t>
  </si>
  <si>
    <t>Uconn</t>
  </si>
  <si>
    <t>Furman</t>
  </si>
  <si>
    <t>East SUB</t>
  </si>
  <si>
    <t>Florida</t>
  </si>
  <si>
    <t>Prairie View/Lehigh</t>
  </si>
  <si>
    <t>Clemson</t>
  </si>
  <si>
    <t>Iowa</t>
  </si>
  <si>
    <t>Vanderbilt</t>
  </si>
  <si>
    <t>McNeese</t>
  </si>
  <si>
    <t>Nebraska</t>
  </si>
  <si>
    <t>Troy</t>
  </si>
  <si>
    <t>North Carolina</t>
  </si>
  <si>
    <t>VCU</t>
  </si>
  <si>
    <t>Illinois</t>
  </si>
  <si>
    <t>Penn</t>
  </si>
  <si>
    <t>Saint Mary's</t>
  </si>
  <si>
    <t>Texas A&amp;M</t>
  </si>
  <si>
    <t>Houston</t>
  </si>
  <si>
    <t>Idaho</t>
  </si>
  <si>
    <t>South SUB</t>
  </si>
  <si>
    <t>Arizona</t>
  </si>
  <si>
    <t>Long Island</t>
  </si>
  <si>
    <t>Villanova</t>
  </si>
  <si>
    <t>Utah St.</t>
  </si>
  <si>
    <t>Wisconsin</t>
  </si>
  <si>
    <t>High Point</t>
  </si>
  <si>
    <t>Arkansas</t>
  </si>
  <si>
    <t>Hawaii</t>
  </si>
  <si>
    <t>BYU</t>
  </si>
  <si>
    <t>Texas/NC State</t>
  </si>
  <si>
    <t>Gonzaga</t>
  </si>
  <si>
    <t>KennesawSt.</t>
  </si>
  <si>
    <t>Miami (FL)</t>
  </si>
  <si>
    <t>Missouri</t>
  </si>
  <si>
    <t>Purdue</t>
  </si>
  <si>
    <t>Queens (NC)</t>
  </si>
  <si>
    <t>West SUB</t>
  </si>
  <si>
    <t>Michigan</t>
  </si>
  <si>
    <t>UMBC/Howard</t>
  </si>
  <si>
    <t>Georgia</t>
  </si>
  <si>
    <t>Saint Louis</t>
  </si>
  <si>
    <t>Texas Tech</t>
  </si>
  <si>
    <t>Akron</t>
  </si>
  <si>
    <t>Alabama</t>
  </si>
  <si>
    <t>Hofstra</t>
  </si>
  <si>
    <t>Tennessee</t>
  </si>
  <si>
    <t>Miami(OH)/SMU</t>
  </si>
  <si>
    <t>Virginia</t>
  </si>
  <si>
    <t>Wright St.</t>
  </si>
  <si>
    <t>Kentucky</t>
  </si>
  <si>
    <t>Santa Clara</t>
  </si>
  <si>
    <t>Iowa St.</t>
  </si>
  <si>
    <t>Tennessee St.</t>
  </si>
  <si>
    <t>Midwest SUB</t>
  </si>
  <si>
    <t>Totals</t>
  </si>
  <si>
    <t>Side by Side Comparison Tool</t>
  </si>
  <si>
    <t>Quick Summary</t>
  </si>
  <si>
    <t>Points</t>
  </si>
  <si>
    <t>Potential</t>
  </si>
  <si>
    <t>Historical Difficulty Measure by Round</t>
  </si>
  <si>
    <t>Winning
Points</t>
  </si>
  <si>
    <t>Winning
Person</t>
  </si>
  <si>
    <t>Enter the number next to the person's name in the Quick Summary to the left</t>
  </si>
  <si>
    <t>Then you must run the Macro "ThreePersonCompare"</t>
  </si>
  <si>
    <t>Person 1 =&gt;</t>
  </si>
  <si>
    <t>Person 2 =&gt;</t>
  </si>
  <si>
    <t>Person 3 =&gt;</t>
  </si>
  <si>
    <t>P1 vs. P2</t>
  </si>
  <si>
    <t>P1 vs. P3</t>
  </si>
  <si>
    <t>P2 vs. P3</t>
  </si>
  <si>
    <t>Mike Corder</t>
  </si>
  <si>
    <t>Game</t>
  </si>
  <si>
    <t>Total</t>
  </si>
  <si>
    <t>Larry Bodin</t>
  </si>
  <si>
    <t>Doug Hill</t>
  </si>
  <si>
    <t>Brad Cox</t>
  </si>
  <si>
    <t>Carl Greer</t>
  </si>
  <si>
    <t>Rick Boyle</t>
  </si>
  <si>
    <t>Jason Melody</t>
  </si>
  <si>
    <t>COVID-19</t>
  </si>
  <si>
    <t>Susan Smith</t>
  </si>
  <si>
    <t>Jason Fry</t>
  </si>
  <si>
    <t>Reilly Donovan</t>
  </si>
  <si>
    <t>Difficulty Measure</t>
  </si>
  <si>
    <t>East</t>
  </si>
  <si>
    <t>South</t>
  </si>
  <si>
    <t>West</t>
  </si>
  <si>
    <t>Midwest</t>
  </si>
  <si>
    <t>The max and min columns must be adjusted to the actual number of players.</t>
  </si>
  <si>
    <t>Quick summary must be adjusted to the actual number of players.</t>
  </si>
  <si>
    <t>Historical section needs an additional row for each new year.</t>
  </si>
  <si>
    <t>Column Numbers tab may have to be increased if the number of players grows.</t>
  </si>
  <si>
    <t>ThreePersonCompare macro may be sensitive to the name of the file and may have to be dropped and re-added as a button.</t>
  </si>
  <si>
    <t>When copying in from players, must paste values to not lose conditional formatting.  Also, do it by region or lose the subtotal when pasting values. (Or fix blank bracket to have conditional formatting before sending it out.)</t>
  </si>
  <si>
    <t>If not typing in teams in the main bracket, they also must be copied and paste values to preserve conditional formatting.</t>
  </si>
  <si>
    <t>Updating Wins and In columns should be done with paste values to preserve conditional formatting</t>
  </si>
  <si>
    <t>Lindsay Ringgold</t>
  </si>
  <si>
    <t>Tom Huppmann</t>
  </si>
  <si>
    <t>Jess Cearfoss</t>
  </si>
  <si>
    <t>Brendan Ford</t>
  </si>
  <si>
    <t>Scott Besch</t>
  </si>
  <si>
    <t>Liam Corder</t>
  </si>
  <si>
    <t>Brion Chmura</t>
  </si>
  <si>
    <t>Jon Knazur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</si>
</sst>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0"/>
      <name val="Arial"/>
    </font>
    <font>
      <sz val="10"/>
      <name val="Arial"/>
    </font>
    <font>
      <b/>
      <sz val="8"/>
      <name val="Arial"/>
      <family val="2"/>
    </font>
    <font>
      <sz val="8"/>
      <name val="Arial"/>
      <family val="2"/>
    </font>
    <font>
      <sz val="8"/>
      <color indexed="8"/>
      <name val="Arial"/>
      <family val="2"/>
    </font>
    <font>
      <b/>
      <sz val="10"/>
      <name val="Arial"/>
      <family val="2"/>
    </font>
    <font>
      <sz val="9"/>
      <name val="Arial"/>
      <family val="2"/>
    </font>
    <font>
      <sz val="10"/>
      <name val="Arial"/>
      <family val="2"/>
    </font>
  </fonts>
  <fills count="4">
    <fill>
      <patternFill patternType="none"/>
    </fill>
    <fill>
      <patternFill patternType="gray125"/>
    </fill>
    <fill>
      <patternFill patternType="solid">
        <fgColor indexed="61"/>
        <bgColor indexed="64"/>
      </patternFill>
    </fill>
    <fill>
      <patternFill patternType="solid">
        <fgColor indexed="40"/>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diagonal/>
    </border>
    <border>
      <left/>
      <right style="thin">
        <color indexed="64"/>
      </right>
      <top style="thin">
        <color indexed="64"/>
      </top>
      <bottom style="thin">
        <color indexed="64"/>
      </bottom>
      <diagonal/>
    </border>
    <border>
      <left/>
      <right style="thin">
        <color indexed="64"/>
      </right>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69">
    <xf numFmtId="0" fontId="0" fillId="0" borderId="0" xfId="0"/>
    <xf numFmtId="0" fontId="2" fillId="0" borderId="1" xfId="0" applyFont="1" applyBorder="1" applyAlignment="1">
      <alignment horizontal="left"/>
    </xf>
    <xf numFmtId="0" fontId="2" fillId="0" borderId="1" xfId="0" applyFont="1" applyBorder="1" applyAlignment="1">
      <alignment horizontal="center"/>
    </xf>
    <xf numFmtId="0" fontId="3" fillId="0" borderId="0" xfId="0" applyFont="1"/>
    <xf numFmtId="0" fontId="3" fillId="0" borderId="0" xfId="0" applyFont="1" applyAlignment="1">
      <alignment horizontal="left"/>
    </xf>
    <xf numFmtId="0" fontId="3" fillId="0" borderId="0" xfId="0" applyFont="1" applyAlignment="1">
      <alignment horizontal="center"/>
    </xf>
    <xf numFmtId="0" fontId="3" fillId="0" borderId="1" xfId="0" applyFont="1" applyBorder="1" applyAlignment="1">
      <alignment horizontal="left"/>
    </xf>
    <xf numFmtId="0" fontId="3" fillId="0" borderId="1" xfId="0" applyFont="1" applyBorder="1"/>
    <xf numFmtId="0" fontId="3" fillId="0" borderId="1" xfId="0" applyFont="1" applyBorder="1" applyAlignment="1">
      <alignment horizontal="center"/>
    </xf>
    <xf numFmtId="0" fontId="2" fillId="0" borderId="0" xfId="0" applyFont="1" applyAlignment="1">
      <alignment horizontal="center"/>
    </xf>
    <xf numFmtId="0" fontId="2" fillId="0" borderId="0" xfId="0" applyFont="1"/>
    <xf numFmtId="0" fontId="2" fillId="0" borderId="0" xfId="0" applyFont="1" applyAlignment="1">
      <alignment horizontal="left"/>
    </xf>
    <xf numFmtId="0" fontId="3" fillId="2" borderId="0" xfId="0" applyFont="1" applyFill="1" applyAlignment="1">
      <alignment horizontal="center"/>
    </xf>
    <xf numFmtId="0" fontId="4" fillId="0" borderId="0" xfId="0" applyFont="1" applyAlignment="1">
      <alignment horizontal="left"/>
    </xf>
    <xf numFmtId="0" fontId="4" fillId="0" borderId="0" xfId="0" applyFont="1"/>
    <xf numFmtId="0" fontId="4" fillId="0" borderId="0" xfId="0" applyFont="1" applyAlignment="1">
      <alignment horizontal="center"/>
    </xf>
    <xf numFmtId="0" fontId="4" fillId="2" borderId="0" xfId="0" applyFont="1" applyFill="1" applyAlignment="1">
      <alignment horizontal="center"/>
    </xf>
    <xf numFmtId="0" fontId="2" fillId="0" borderId="2" xfId="0" applyFont="1" applyBorder="1" applyAlignment="1">
      <alignment horizontal="center"/>
    </xf>
    <xf numFmtId="0" fontId="3" fillId="0" borderId="2" xfId="0" applyFont="1" applyBorder="1" applyAlignment="1">
      <alignment horizontal="left"/>
    </xf>
    <xf numFmtId="0" fontId="3" fillId="0" borderId="3"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xf>
    <xf numFmtId="0" fontId="2" fillId="0" borderId="8" xfId="0" applyFont="1" applyBorder="1" applyAlignment="1">
      <alignment horizontal="center"/>
    </xf>
    <xf numFmtId="0" fontId="3" fillId="0" borderId="2" xfId="0" applyFont="1" applyBorder="1" applyAlignment="1">
      <alignment horizontal="center"/>
    </xf>
    <xf numFmtId="0" fontId="3" fillId="0" borderId="9" xfId="0" applyFont="1" applyBorder="1" applyAlignment="1">
      <alignment horizontal="left"/>
    </xf>
    <xf numFmtId="0" fontId="6" fillId="0" borderId="0" xfId="0" applyFont="1"/>
    <xf numFmtId="0" fontId="7" fillId="0" borderId="0" xfId="0" applyFont="1"/>
    <xf numFmtId="0" fontId="6" fillId="3" borderId="2" xfId="0" applyFont="1" applyFill="1" applyBorder="1"/>
    <xf numFmtId="0" fontId="5" fillId="0" borderId="0" xfId="0" applyFont="1"/>
    <xf numFmtId="0" fontId="4" fillId="0" borderId="0" xfId="0" applyFont="1" applyAlignment="1">
      <alignment wrapText="1"/>
    </xf>
    <xf numFmtId="0" fontId="3" fillId="0" borderId="4" xfId="0" applyFont="1" applyBorder="1" applyAlignment="1">
      <alignment horizontal="left"/>
    </xf>
    <xf numFmtId="0" fontId="3" fillId="0" borderId="10" xfId="0" applyFont="1" applyBorder="1" applyAlignment="1">
      <alignment horizontal="left"/>
    </xf>
    <xf numFmtId="0" fontId="3" fillId="0" borderId="12" xfId="0" applyFont="1" applyBorder="1" applyAlignment="1">
      <alignment horizontal="center"/>
    </xf>
    <xf numFmtId="0" fontId="3" fillId="0" borderId="14" xfId="0" applyFont="1" applyBorder="1"/>
    <xf numFmtId="0" fontId="3" fillId="0" borderId="12" xfId="0" applyFont="1" applyBorder="1"/>
    <xf numFmtId="0" fontId="3" fillId="0" borderId="13" xfId="0" applyFont="1" applyBorder="1"/>
    <xf numFmtId="0" fontId="3" fillId="0" borderId="11" xfId="0" applyFont="1" applyBorder="1"/>
    <xf numFmtId="0" fontId="3" fillId="0" borderId="2" xfId="0" applyFont="1" applyBorder="1" applyAlignment="1">
      <alignment horizontal="center" wrapText="1"/>
    </xf>
    <xf numFmtId="0" fontId="0" fillId="0" borderId="18" xfId="0" applyBorder="1"/>
    <xf numFmtId="0" fontId="0" fillId="0" borderId="19" xfId="0" applyBorder="1"/>
    <xf numFmtId="0" fontId="0" fillId="0" borderId="14" xfId="0" applyBorder="1"/>
    <xf numFmtId="0" fontId="0" fillId="0" borderId="12" xfId="0" applyBorder="1"/>
    <xf numFmtId="0" fontId="0" fillId="0" borderId="13" xfId="0" applyBorder="1"/>
    <xf numFmtId="0" fontId="3" fillId="0" borderId="10" xfId="0" applyFont="1" applyBorder="1"/>
    <xf numFmtId="0" fontId="3" fillId="0" borderId="0" xfId="0" applyFont="1"/>
    <xf numFmtId="0" fontId="0" fillId="0" borderId="10" xfId="0" applyBorder="1"/>
    <xf numFmtId="0" fontId="3" fillId="0" borderId="6" xfId="0" applyFont="1" applyBorder="1" applyAlignment="1">
      <alignment horizontal="left"/>
    </xf>
    <xf numFmtId="0" fontId="3" fillId="0" borderId="4" xfId="0" applyFont="1" applyBorder="1" applyAlignment="1">
      <alignment horizontal="center"/>
    </xf>
    <xf numFmtId="0" fontId="3" fillId="0" borderId="0" xfId="0" applyFont="1" applyAlignment="1">
      <alignment horizontal="center"/>
    </xf>
    <xf numFmtId="0" fontId="3" fillId="0" borderId="6" xfId="0" applyFont="1" applyBorder="1"/>
    <xf numFmtId="0" fontId="3" fillId="0" borderId="21" xfId="0" applyFont="1" applyBorder="1" applyAlignment="1">
      <alignment horizontal="center"/>
    </xf>
    <xf numFmtId="0" fontId="3" fillId="0" borderId="16" xfId="0" applyFont="1" applyBorder="1" applyAlignment="1">
      <alignment horizontal="center"/>
    </xf>
    <xf numFmtId="0" fontId="0" fillId="0" borderId="17" xfId="0" applyBorder="1"/>
    <xf numFmtId="0" fontId="3" fillId="0" borderId="22" xfId="0" applyFont="1" applyBorder="1" applyAlignment="1">
      <alignment horizontal="center" wrapText="1"/>
    </xf>
    <xf numFmtId="0" fontId="0" fillId="0" borderId="11" xfId="0" applyBorder="1"/>
    <xf numFmtId="0" fontId="3" fillId="0" borderId="12" xfId="0" applyFont="1" applyBorder="1" applyAlignment="1">
      <alignment horizontal="center"/>
    </xf>
    <xf numFmtId="0" fontId="3" fillId="0" borderId="14" xfId="0" applyFont="1" applyBorder="1" applyAlignment="1">
      <alignment horizontal="center"/>
    </xf>
    <xf numFmtId="0" fontId="3" fillId="0" borderId="2" xfId="0" applyFont="1" applyBorder="1" applyAlignment="1">
      <alignment horizontal="center"/>
    </xf>
    <xf numFmtId="0" fontId="0" fillId="0" borderId="9" xfId="0" applyBorder="1"/>
    <xf numFmtId="0" fontId="3" fillId="0" borderId="10" xfId="0" applyFont="1" applyBorder="1" applyAlignment="1">
      <alignment horizontal="center"/>
    </xf>
    <xf numFmtId="0" fontId="3" fillId="0" borderId="15" xfId="0" applyFont="1" applyBorder="1" applyAlignment="1">
      <alignment horizontal="center"/>
    </xf>
    <xf numFmtId="0" fontId="0" fillId="0" borderId="15" xfId="0" applyBorder="1"/>
    <xf numFmtId="0" fontId="2" fillId="0" borderId="2" xfId="0" applyFont="1" applyBorder="1" applyAlignment="1">
      <alignment horizontal="center"/>
    </xf>
    <xf numFmtId="0" fontId="3" fillId="0" borderId="20" xfId="0" applyFont="1" applyBorder="1" applyAlignment="1">
      <alignment horizontal="center"/>
    </xf>
    <xf numFmtId="0" fontId="5" fillId="0" borderId="16" xfId="0" applyFont="1" applyBorder="1" applyAlignment="1">
      <alignment horizontal="center"/>
    </xf>
    <xf numFmtId="0" fontId="3" fillId="0" borderId="10" xfId="0" applyFont="1" applyBorder="1" applyAlignment="1">
      <alignment horizontal="left"/>
    </xf>
  </cellXfs>
  <cellStyles count="2">
    <cellStyle name="Normal" xfId="0" builtinId="0"/>
    <cellStyle name="Normal 2" xfId="1" xr:uid="{00000000-0005-0000-0000-000001000000}"/>
  </cellStyles>
  <dxfs count="287">
    <dxf>
      <fill>
        <patternFill>
          <bgColor theme="7" tint="0.39994506668294322"/>
        </patternFill>
      </fill>
    </dxf>
    <dxf>
      <fill>
        <patternFill>
          <bgColor theme="7" tint="0.39994506668294322"/>
        </patternFill>
      </fill>
    </dxf>
    <dxf>
      <fill>
        <patternFill>
          <bgColor theme="7" tint="0.39994506668294322"/>
        </patternFill>
      </fill>
    </dxf>
    <dxf>
      <fill>
        <patternFill>
          <bgColor indexed="47"/>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indexed="47"/>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indexed="47"/>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indexed="47"/>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indexed="47"/>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indexed="47"/>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indexed="47"/>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34"/>
        </patternFill>
      </fill>
    </dxf>
    <dxf>
      <fill>
        <patternFill>
          <bgColor indexed="48"/>
        </patternFill>
      </fill>
    </dxf>
    <dxf>
      <fill>
        <patternFill>
          <bgColor indexed="47"/>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indexed="47"/>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indexed="47"/>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indexed="47"/>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indexed="47"/>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indexed="47"/>
        </patternFill>
      </fill>
    </dxf>
    <dxf>
      <fill>
        <patternFill>
          <bgColor indexed="11"/>
        </patternFill>
      </fill>
    </dxf>
    <dxf>
      <fill>
        <patternFill>
          <bgColor indexed="34"/>
        </patternFill>
      </fill>
    </dxf>
    <dxf>
      <fill>
        <patternFill>
          <bgColor indexed="48"/>
        </patternFill>
      </fill>
    </dxf>
    <dxf>
      <fill>
        <patternFill>
          <bgColor indexed="47"/>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indexed="34"/>
        </patternFill>
      </fill>
    </dxf>
    <dxf>
      <fill>
        <patternFill>
          <bgColor indexed="48"/>
        </patternFill>
      </fill>
    </dxf>
    <dxf>
      <fill>
        <patternFill>
          <bgColor indexed="47"/>
        </patternFill>
      </fill>
    </dxf>
    <dxf>
      <fill>
        <patternFill>
          <bgColor rgb="FFE3E3E3"/>
        </patternFill>
      </fill>
    </dxf>
    <dxf>
      <fill>
        <patternFill>
          <bgColor rgb="FFE3E3E3"/>
        </patternFill>
      </fill>
    </dxf>
    <dxf>
      <fill>
        <patternFill>
          <bgColor rgb="FFE3E3E3"/>
        </patternFill>
      </fill>
    </dxf>
    <dxf>
      <fill>
        <patternFill>
          <bgColor rgb="FFE3E3E3"/>
        </patternFill>
      </fill>
    </dxf>
    <dxf>
      <fill>
        <patternFill>
          <bgColor rgb="FFE3E3E3"/>
        </patternFill>
      </fill>
    </dxf>
    <dxf>
      <fill>
        <patternFill>
          <bgColor indexed="34"/>
        </patternFill>
      </fill>
    </dxf>
    <dxf>
      <fill>
        <patternFill>
          <bgColor indexed="48"/>
        </patternFill>
      </fill>
    </dxf>
    <dxf>
      <fill>
        <patternFill>
          <bgColor indexed="47"/>
        </patternFill>
      </fill>
    </dxf>
    <dxf>
      <fill>
        <patternFill>
          <bgColor indexed="47"/>
        </patternFill>
      </fill>
    </dxf>
    <dxf>
      <fill>
        <patternFill>
          <bgColor indexed="1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A161"/>
  <sheetViews>
    <sheetView tabSelected="1" zoomScaleNormal="100" workbookViewId="0">
      <pane xSplit="2" ySplit="2" topLeftCell="C3" activePane="bottomRight" state="frozen"/>
      <selection pane="topRight" activeCell="C1" sqref="C1"/>
      <selection pane="bottomLeft" activeCell="A2" sqref="A2"/>
      <selection pane="bottomRight" activeCell="B1" sqref="B1"/>
    </sheetView>
  </sheetViews>
  <sheetFormatPr defaultColWidth="9.109375" defaultRowHeight="10.199999999999999" x14ac:dyDescent="0.2"/>
  <cols>
    <col min="1" max="1" width="4.44140625" style="4" customWidth="1"/>
    <col min="2" max="2" width="14.44140625" style="3" customWidth="1"/>
    <col min="3" max="3" width="4" style="5" customWidth="1"/>
    <col min="4" max="4" width="3.44140625" style="5" customWidth="1"/>
    <col min="5" max="5" width="1.6640625" style="5" customWidth="1"/>
    <col min="6" max="6" width="4.5546875" style="5" customWidth="1"/>
    <col min="7" max="7" width="4.44140625" style="5" customWidth="1"/>
    <col min="8" max="8" width="5" style="5" customWidth="1"/>
    <col min="9" max="9" width="1.6640625" style="5" customWidth="1"/>
    <col min="10" max="10" width="4.5546875" style="5" customWidth="1"/>
    <col min="11" max="11" width="4.44140625" style="5" customWidth="1"/>
    <col min="12" max="12" width="5" style="5" customWidth="1"/>
    <col min="13" max="13" width="1.6640625" style="5" customWidth="1"/>
    <col min="14" max="14" width="4.5546875" style="5" customWidth="1"/>
    <col min="15" max="15" width="4.44140625" style="5" customWidth="1"/>
    <col min="16" max="16" width="5" style="5" customWidth="1"/>
    <col min="17" max="17" width="1.6640625" style="5" customWidth="1"/>
    <col min="18" max="18" width="4.5546875" style="3" customWidth="1"/>
    <col min="19" max="19" width="4.44140625" style="3" customWidth="1"/>
    <col min="20" max="20" width="5" style="3" customWidth="1"/>
    <col min="21" max="21" width="1.6640625" style="3" customWidth="1"/>
    <col min="22" max="22" width="4.5546875" style="3" customWidth="1"/>
    <col min="23" max="23" width="4.44140625" style="3" customWidth="1"/>
    <col min="24" max="24" width="5" style="3" customWidth="1"/>
    <col min="25" max="25" width="1.6640625" style="3" customWidth="1"/>
    <col min="26" max="26" width="4.5546875" style="3" customWidth="1"/>
    <col min="27" max="27" width="4.44140625" style="3" customWidth="1"/>
    <col min="28" max="28" width="5" style="3" customWidth="1"/>
    <col min="29" max="29" width="1.6640625" style="3" customWidth="1"/>
    <col min="30" max="30" width="4.5546875" style="3" customWidth="1"/>
    <col min="31" max="31" width="4.44140625" style="3" customWidth="1"/>
    <col min="32" max="32" width="5" style="3" customWidth="1"/>
    <col min="33" max="33" width="1.6640625" style="3" customWidth="1"/>
    <col min="34" max="34" width="4.5546875" style="3" customWidth="1"/>
    <col min="35" max="35" width="4.44140625" style="3" customWidth="1"/>
    <col min="36" max="36" width="5" style="3" customWidth="1"/>
    <col min="37" max="37" width="1.6640625" style="3" customWidth="1"/>
    <col min="38" max="38" width="4.5546875" style="3" customWidth="1"/>
    <col min="39" max="39" width="4.44140625" style="3" customWidth="1"/>
    <col min="40" max="40" width="5" style="3" customWidth="1"/>
    <col min="41" max="41" width="1.6640625" style="3" customWidth="1"/>
    <col min="42" max="42" width="4.5546875" style="3" customWidth="1"/>
    <col min="43" max="43" width="4.44140625" style="3" customWidth="1"/>
    <col min="44" max="44" width="5" style="3" customWidth="1"/>
    <col min="45" max="45" width="1.6640625" style="3" customWidth="1"/>
    <col min="46" max="46" width="4.5546875" style="3" customWidth="1"/>
    <col min="47" max="47" width="4.44140625" style="3" customWidth="1"/>
    <col min="48" max="48" width="5" style="3" customWidth="1"/>
    <col min="49" max="49" width="1.6640625" style="3" customWidth="1"/>
    <col min="50" max="50" width="4.5546875" style="3" customWidth="1"/>
    <col min="51" max="51" width="4.44140625" style="3" customWidth="1"/>
    <col min="52" max="52" width="5" style="3" customWidth="1"/>
    <col min="53" max="53" width="1.6640625" style="3" customWidth="1"/>
    <col min="54" max="55" width="4.5546875" style="3" customWidth="1"/>
    <col min="56" max="56" width="5" style="3" customWidth="1"/>
    <col min="57" max="57" width="1.6640625" style="3" customWidth="1"/>
    <col min="58" max="59" width="4.5546875" style="3" customWidth="1"/>
    <col min="60" max="60" width="5" style="3" customWidth="1"/>
    <col min="61" max="61" width="1.6640625" style="3" customWidth="1"/>
    <col min="62" max="63" width="4.5546875" style="3" customWidth="1"/>
    <col min="64" max="64" width="5" style="3" customWidth="1"/>
    <col min="65" max="65" width="1.6640625" style="3" customWidth="1"/>
    <col min="66" max="67" width="4.5546875" style="3" customWidth="1"/>
    <col min="68" max="68" width="5" style="3" customWidth="1"/>
    <col min="69" max="69" width="1.6640625" style="3" customWidth="1"/>
    <col min="70" max="71" width="4.5546875" style="3" customWidth="1"/>
    <col min="72" max="72" width="5" style="3" customWidth="1"/>
    <col min="73" max="73" width="1.6640625" style="3" customWidth="1"/>
    <col min="74" max="75" width="4.5546875" style="3" customWidth="1"/>
    <col min="76" max="76" width="5" style="3" customWidth="1"/>
    <col min="77" max="77" width="1.6640625" style="3" customWidth="1"/>
    <col min="78" max="79" width="4.5546875" style="3" customWidth="1"/>
    <col min="80" max="80" width="5" style="3" customWidth="1"/>
    <col min="81" max="81" width="1.6640625" style="3" customWidth="1"/>
    <col min="82" max="83" width="4.5546875" style="3" customWidth="1"/>
    <col min="84" max="84" width="5" style="3" customWidth="1"/>
    <col min="85" max="85" width="1.6640625" style="3" customWidth="1"/>
    <col min="86" max="87" width="4.5546875" style="3" customWidth="1"/>
    <col min="88" max="88" width="5" style="3" customWidth="1"/>
    <col min="89" max="89" width="1.6640625" style="3" customWidth="1"/>
    <col min="90" max="91" width="4.5546875" style="3" customWidth="1"/>
    <col min="92" max="92" width="5" style="3" customWidth="1"/>
    <col min="93" max="93" width="1.6640625" style="3" customWidth="1"/>
    <col min="94" max="95" width="4.5546875" style="3" customWidth="1"/>
    <col min="96" max="96" width="5" style="3" customWidth="1"/>
    <col min="97" max="97" width="1.6640625" style="3" customWidth="1"/>
    <col min="98" max="99" width="4.5546875" style="3" customWidth="1"/>
    <col min="100" max="100" width="5" style="3" customWidth="1"/>
    <col min="101" max="101" width="1.6640625" style="3" customWidth="1"/>
    <col min="102" max="103" width="4.5546875" style="3" customWidth="1"/>
    <col min="104" max="104" width="5" style="3" customWidth="1"/>
    <col min="105" max="105" width="1.6640625" style="3" customWidth="1"/>
    <col min="106" max="107" width="4.5546875" style="3" customWidth="1"/>
    <col min="108" max="108" width="5" style="3" customWidth="1"/>
    <col min="109" max="109" width="1.6640625" style="3" customWidth="1"/>
    <col min="110" max="111" width="4.5546875" style="3" customWidth="1"/>
    <col min="112" max="112" width="5" style="3" customWidth="1"/>
    <col min="113" max="113" width="1.6640625" style="3" customWidth="1"/>
    <col min="114" max="115" width="4.5546875" style="3" customWidth="1"/>
    <col min="116" max="116" width="5" style="3" customWidth="1"/>
    <col min="117" max="117" width="1.6640625" style="3" customWidth="1"/>
    <col min="118" max="119" width="4.5546875" style="3" customWidth="1"/>
    <col min="120" max="120" width="5" style="3" customWidth="1"/>
    <col min="121" max="121" width="1.6640625" style="3" customWidth="1"/>
    <col min="122" max="123" width="4.5546875" style="3" customWidth="1"/>
    <col min="124" max="124" width="5" style="3" customWidth="1"/>
    <col min="125" max="125" width="1.6640625" style="3" customWidth="1"/>
    <col min="126" max="126" width="9.109375" style="5" customWidth="1"/>
    <col min="127" max="127" width="4.5546875" style="5" customWidth="1"/>
    <col min="128" max="129" width="9.109375" style="3" customWidth="1"/>
    <col min="130" max="16384" width="9.109375" style="3"/>
  </cols>
  <sheetData>
    <row r="1" spans="1:131" x14ac:dyDescent="0.2">
      <c r="E1" s="12"/>
      <c r="G1" s="9" t="s">
        <v>0</v>
      </c>
      <c r="I1" s="12"/>
      <c r="K1" s="9" t="s">
        <v>1</v>
      </c>
      <c r="M1" s="12"/>
      <c r="O1" s="9" t="s">
        <v>2</v>
      </c>
      <c r="Q1" s="12"/>
      <c r="S1" s="9" t="s">
        <v>3</v>
      </c>
      <c r="U1" s="12"/>
      <c r="W1" s="9" t="s">
        <v>4</v>
      </c>
      <c r="Y1" s="12"/>
      <c r="AA1" s="9" t="s">
        <v>137</v>
      </c>
      <c r="AC1" s="12"/>
      <c r="AE1" s="9" t="s">
        <v>122</v>
      </c>
      <c r="AG1" s="12"/>
      <c r="AI1" s="9" t="s">
        <v>5</v>
      </c>
      <c r="AK1" s="12"/>
      <c r="AM1" s="9" t="s">
        <v>6</v>
      </c>
      <c r="AN1" s="9"/>
      <c r="AO1" s="12"/>
      <c r="AQ1" s="9" t="s">
        <v>138</v>
      </c>
      <c r="AR1" s="9"/>
      <c r="AS1" s="12"/>
      <c r="AU1" s="9" t="s">
        <v>139</v>
      </c>
      <c r="AV1" s="9"/>
      <c r="AW1" s="12"/>
      <c r="AY1" s="9" t="s">
        <v>123</v>
      </c>
      <c r="AZ1" s="9"/>
      <c r="BA1" s="12"/>
      <c r="BC1" s="9" t="s">
        <v>140</v>
      </c>
      <c r="BD1" s="9"/>
      <c r="BE1" s="12"/>
      <c r="BG1" s="9" t="s">
        <v>7</v>
      </c>
      <c r="BH1" s="9"/>
      <c r="BI1" s="12"/>
      <c r="BK1" s="9" t="s">
        <v>8</v>
      </c>
      <c r="BL1" s="9"/>
      <c r="BM1" s="12"/>
      <c r="BO1" s="9" t="s">
        <v>9</v>
      </c>
      <c r="BP1" s="9"/>
      <c r="BQ1" s="12"/>
      <c r="BS1" s="9" t="s">
        <v>10</v>
      </c>
      <c r="BT1" s="9"/>
      <c r="BU1" s="12"/>
      <c r="BW1" s="9" t="s">
        <v>11</v>
      </c>
      <c r="BX1" s="9"/>
      <c r="BY1" s="12"/>
      <c r="CA1" s="9" t="s">
        <v>12</v>
      </c>
      <c r="CB1" s="9"/>
      <c r="CC1" s="12"/>
      <c r="CE1" s="9" t="s">
        <v>13</v>
      </c>
      <c r="CF1" s="9"/>
      <c r="CG1" s="12"/>
      <c r="CI1" s="9" t="s">
        <v>14</v>
      </c>
      <c r="CJ1" s="9"/>
      <c r="CK1" s="12"/>
      <c r="CM1" s="9" t="s">
        <v>141</v>
      </c>
      <c r="CN1" s="9"/>
      <c r="CO1" s="12"/>
      <c r="CQ1" s="9" t="s">
        <v>15</v>
      </c>
      <c r="CR1" s="9"/>
      <c r="CS1" s="12"/>
      <c r="CU1" s="9" t="s">
        <v>142</v>
      </c>
      <c r="CV1" s="9"/>
      <c r="CW1" s="12"/>
      <c r="CY1" s="9" t="s">
        <v>143</v>
      </c>
      <c r="CZ1" s="9"/>
      <c r="DA1" s="12"/>
      <c r="DC1" s="9" t="s">
        <v>144</v>
      </c>
      <c r="DD1" s="9"/>
      <c r="DE1" s="12"/>
      <c r="DG1" s="9" t="s">
        <v>111</v>
      </c>
      <c r="DH1" s="9"/>
      <c r="DI1" s="12"/>
      <c r="DK1" s="9"/>
      <c r="DL1" s="9"/>
      <c r="DM1" s="12"/>
      <c r="DO1" s="9"/>
      <c r="DP1" s="9"/>
      <c r="DQ1" s="12"/>
      <c r="DS1" s="9"/>
      <c r="DT1" s="9"/>
      <c r="DU1" s="12"/>
      <c r="DX1" s="5" t="s">
        <v>16</v>
      </c>
    </row>
    <row r="2" spans="1:131" ht="12" customHeight="1" thickBot="1" x14ac:dyDescent="0.25">
      <c r="A2" s="1" t="s">
        <v>17</v>
      </c>
      <c r="B2" s="2" t="s">
        <v>18</v>
      </c>
      <c r="C2" s="2" t="s">
        <v>19</v>
      </c>
      <c r="D2" s="2" t="s">
        <v>20</v>
      </c>
      <c r="E2" s="12"/>
      <c r="F2" s="2" t="s">
        <v>21</v>
      </c>
      <c r="G2" s="2" t="s">
        <v>22</v>
      </c>
      <c r="H2" s="2" t="s">
        <v>23</v>
      </c>
      <c r="I2" s="12"/>
      <c r="J2" s="2" t="s">
        <v>21</v>
      </c>
      <c r="K2" s="2" t="s">
        <v>22</v>
      </c>
      <c r="L2" s="2" t="s">
        <v>23</v>
      </c>
      <c r="M2" s="12"/>
      <c r="N2" s="2" t="s">
        <v>21</v>
      </c>
      <c r="O2" s="2" t="s">
        <v>22</v>
      </c>
      <c r="P2" s="2" t="s">
        <v>23</v>
      </c>
      <c r="Q2" s="12"/>
      <c r="R2" s="2" t="s">
        <v>21</v>
      </c>
      <c r="S2" s="2" t="s">
        <v>22</v>
      </c>
      <c r="T2" s="2" t="s">
        <v>23</v>
      </c>
      <c r="U2" s="12"/>
      <c r="V2" s="2" t="s">
        <v>21</v>
      </c>
      <c r="W2" s="2" t="s">
        <v>22</v>
      </c>
      <c r="X2" s="2" t="s">
        <v>23</v>
      </c>
      <c r="Y2" s="12"/>
      <c r="Z2" s="2" t="s">
        <v>21</v>
      </c>
      <c r="AA2" s="2" t="s">
        <v>22</v>
      </c>
      <c r="AB2" s="2" t="s">
        <v>23</v>
      </c>
      <c r="AC2" s="12"/>
      <c r="AD2" s="2" t="s">
        <v>21</v>
      </c>
      <c r="AE2" s="2" t="s">
        <v>22</v>
      </c>
      <c r="AF2" s="2" t="s">
        <v>23</v>
      </c>
      <c r="AG2" s="12"/>
      <c r="AH2" s="2" t="s">
        <v>21</v>
      </c>
      <c r="AI2" s="2" t="s">
        <v>22</v>
      </c>
      <c r="AJ2" s="2" t="s">
        <v>23</v>
      </c>
      <c r="AK2" s="12"/>
      <c r="AL2" s="2" t="s">
        <v>21</v>
      </c>
      <c r="AM2" s="2" t="s">
        <v>22</v>
      </c>
      <c r="AN2" s="2" t="s">
        <v>23</v>
      </c>
      <c r="AO2" s="12"/>
      <c r="AP2" s="2" t="s">
        <v>21</v>
      </c>
      <c r="AQ2" s="2" t="s">
        <v>22</v>
      </c>
      <c r="AR2" s="2" t="s">
        <v>23</v>
      </c>
      <c r="AS2" s="12"/>
      <c r="AT2" s="2" t="s">
        <v>21</v>
      </c>
      <c r="AU2" s="2" t="s">
        <v>22</v>
      </c>
      <c r="AV2" s="2" t="s">
        <v>23</v>
      </c>
      <c r="AW2" s="12"/>
      <c r="AX2" s="2" t="s">
        <v>21</v>
      </c>
      <c r="AY2" s="2" t="s">
        <v>22</v>
      </c>
      <c r="AZ2" s="2" t="s">
        <v>23</v>
      </c>
      <c r="BA2" s="12"/>
      <c r="BB2" s="2" t="s">
        <v>21</v>
      </c>
      <c r="BC2" s="2" t="s">
        <v>22</v>
      </c>
      <c r="BD2" s="2" t="s">
        <v>23</v>
      </c>
      <c r="BE2" s="12"/>
      <c r="BF2" s="2" t="s">
        <v>21</v>
      </c>
      <c r="BG2" s="2" t="s">
        <v>22</v>
      </c>
      <c r="BH2" s="2" t="s">
        <v>23</v>
      </c>
      <c r="BI2" s="12"/>
      <c r="BJ2" s="2" t="s">
        <v>21</v>
      </c>
      <c r="BK2" s="2" t="s">
        <v>22</v>
      </c>
      <c r="BL2" s="2" t="s">
        <v>23</v>
      </c>
      <c r="BM2" s="12"/>
      <c r="BN2" s="2" t="s">
        <v>21</v>
      </c>
      <c r="BO2" s="2" t="s">
        <v>22</v>
      </c>
      <c r="BP2" s="2" t="s">
        <v>23</v>
      </c>
      <c r="BQ2" s="12"/>
      <c r="BR2" s="2" t="s">
        <v>21</v>
      </c>
      <c r="BS2" s="2" t="s">
        <v>22</v>
      </c>
      <c r="BT2" s="2" t="s">
        <v>23</v>
      </c>
      <c r="BU2" s="12"/>
      <c r="BV2" s="2" t="s">
        <v>21</v>
      </c>
      <c r="BW2" s="2" t="s">
        <v>22</v>
      </c>
      <c r="BX2" s="2" t="s">
        <v>23</v>
      </c>
      <c r="BY2" s="12"/>
      <c r="BZ2" s="2" t="s">
        <v>21</v>
      </c>
      <c r="CA2" s="2" t="s">
        <v>22</v>
      </c>
      <c r="CB2" s="2" t="s">
        <v>23</v>
      </c>
      <c r="CC2" s="12"/>
      <c r="CD2" s="2" t="s">
        <v>21</v>
      </c>
      <c r="CE2" s="2" t="s">
        <v>22</v>
      </c>
      <c r="CF2" s="2" t="s">
        <v>23</v>
      </c>
      <c r="CG2" s="12"/>
      <c r="CH2" s="2" t="s">
        <v>21</v>
      </c>
      <c r="CI2" s="2" t="s">
        <v>22</v>
      </c>
      <c r="CJ2" s="2" t="s">
        <v>23</v>
      </c>
      <c r="CK2" s="12"/>
      <c r="CL2" s="2" t="s">
        <v>21</v>
      </c>
      <c r="CM2" s="2" t="s">
        <v>22</v>
      </c>
      <c r="CN2" s="2" t="s">
        <v>23</v>
      </c>
      <c r="CO2" s="12"/>
      <c r="CP2" s="2" t="s">
        <v>21</v>
      </c>
      <c r="CQ2" s="2" t="s">
        <v>22</v>
      </c>
      <c r="CR2" s="2" t="s">
        <v>23</v>
      </c>
      <c r="CS2" s="12"/>
      <c r="CT2" s="2" t="s">
        <v>21</v>
      </c>
      <c r="CU2" s="2" t="s">
        <v>22</v>
      </c>
      <c r="CV2" s="2" t="s">
        <v>23</v>
      </c>
      <c r="CW2" s="12"/>
      <c r="CX2" s="2" t="s">
        <v>21</v>
      </c>
      <c r="CY2" s="2" t="s">
        <v>22</v>
      </c>
      <c r="CZ2" s="2" t="s">
        <v>23</v>
      </c>
      <c r="DA2" s="12"/>
      <c r="DB2" s="2" t="s">
        <v>21</v>
      </c>
      <c r="DC2" s="2" t="s">
        <v>22</v>
      </c>
      <c r="DD2" s="2" t="s">
        <v>23</v>
      </c>
      <c r="DE2" s="12"/>
      <c r="DF2" s="2" t="s">
        <v>21</v>
      </c>
      <c r="DG2" s="2" t="s">
        <v>22</v>
      </c>
      <c r="DH2" s="2" t="s">
        <v>23</v>
      </c>
      <c r="DI2" s="12"/>
      <c r="DJ2" s="2" t="s">
        <v>21</v>
      </c>
      <c r="DK2" s="2" t="s">
        <v>22</v>
      </c>
      <c r="DL2" s="2" t="s">
        <v>23</v>
      </c>
      <c r="DM2" s="12"/>
      <c r="DN2" s="2" t="s">
        <v>21</v>
      </c>
      <c r="DO2" s="2" t="s">
        <v>22</v>
      </c>
      <c r="DP2" s="2" t="s">
        <v>23</v>
      </c>
      <c r="DQ2" s="12"/>
      <c r="DR2" s="2" t="s">
        <v>21</v>
      </c>
      <c r="DS2" s="2" t="s">
        <v>22</v>
      </c>
      <c r="DT2" s="2" t="s">
        <v>23</v>
      </c>
      <c r="DU2" s="12"/>
      <c r="DW2" s="9"/>
      <c r="DX2" s="5" t="s">
        <v>24</v>
      </c>
      <c r="DZ2" s="5" t="s">
        <v>25</v>
      </c>
      <c r="EA2" s="5" t="s">
        <v>26</v>
      </c>
    </row>
    <row r="3" spans="1:131" s="14" customFormat="1" x14ac:dyDescent="0.2">
      <c r="A3" s="15">
        <v>1</v>
      </c>
      <c r="B3" s="14" t="s">
        <v>27</v>
      </c>
      <c r="C3" s="15">
        <v>0</v>
      </c>
      <c r="D3" s="15">
        <v>1</v>
      </c>
      <c r="E3" s="16"/>
      <c r="F3" s="15">
        <v>54</v>
      </c>
      <c r="G3" s="15">
        <f t="shared" ref="G3:G18" si="0">$C3*F3</f>
        <v>0</v>
      </c>
      <c r="H3" s="15">
        <f t="shared" ref="H3:H18" si="1">$D3*(6-$C3)*F3</f>
        <v>324</v>
      </c>
      <c r="I3" s="16"/>
      <c r="J3" s="15">
        <v>62</v>
      </c>
      <c r="K3" s="15">
        <f t="shared" ref="K3:K18" si="2">$C3*J3</f>
        <v>0</v>
      </c>
      <c r="L3" s="15">
        <f t="shared" ref="L3:L18" si="3">$D3*(6-$C3)*J3</f>
        <v>372</v>
      </c>
      <c r="M3" s="16"/>
      <c r="N3" s="15">
        <v>63</v>
      </c>
      <c r="O3" s="15">
        <f t="shared" ref="O3:O18" si="4">$C3*N3</f>
        <v>0</v>
      </c>
      <c r="P3" s="15">
        <f t="shared" ref="P3:P18" si="5">$D3*(6-$C3)*N3</f>
        <v>378</v>
      </c>
      <c r="Q3" s="16"/>
      <c r="R3" s="15">
        <v>64</v>
      </c>
      <c r="S3" s="15">
        <f t="shared" ref="S3:S18" si="6">$C3*R3</f>
        <v>0</v>
      </c>
      <c r="T3" s="15">
        <f t="shared" ref="T3:T18" si="7">$D3*(6-$C3)*R3</f>
        <v>384</v>
      </c>
      <c r="U3" s="16"/>
      <c r="V3" s="15">
        <v>63</v>
      </c>
      <c r="W3" s="15">
        <f t="shared" ref="W3:W18" si="8">$C3*V3</f>
        <v>0</v>
      </c>
      <c r="X3" s="15">
        <f t="shared" ref="X3:X18" si="9">$D3*(6-$C3)*V3</f>
        <v>378</v>
      </c>
      <c r="Y3" s="16"/>
      <c r="Z3" s="15">
        <v>58</v>
      </c>
      <c r="AA3" s="15">
        <f t="shared" ref="AA3:AA18" si="10">$C3*Z3</f>
        <v>0</v>
      </c>
      <c r="AB3" s="15">
        <f t="shared" ref="AB3:AB18" si="11">$D3*(6-$C3)*Z3</f>
        <v>348</v>
      </c>
      <c r="AC3" s="16"/>
      <c r="AD3" s="15">
        <v>63</v>
      </c>
      <c r="AE3" s="15">
        <f t="shared" ref="AE3:AE18" si="12">$C3*AD3</f>
        <v>0</v>
      </c>
      <c r="AF3" s="15">
        <f t="shared" ref="AF3:AF18" si="13">$D3*(6-$C3)*AD3</f>
        <v>378</v>
      </c>
      <c r="AG3" s="16"/>
      <c r="AH3" s="15">
        <v>63</v>
      </c>
      <c r="AI3" s="15">
        <f t="shared" ref="AI3:AI18" si="14">$C3*AH3</f>
        <v>0</v>
      </c>
      <c r="AJ3" s="15">
        <f t="shared" ref="AJ3:AJ18" si="15">$D3*(6-$C3)*AH3</f>
        <v>378</v>
      </c>
      <c r="AK3" s="16"/>
      <c r="AL3" s="15">
        <v>64</v>
      </c>
      <c r="AM3" s="15">
        <f t="shared" ref="AM3:AM18" si="16">$C3*AL3</f>
        <v>0</v>
      </c>
      <c r="AN3" s="15">
        <f t="shared" ref="AN3:AN18" si="17">$D3*(6-$C3)*AL3</f>
        <v>384</v>
      </c>
      <c r="AO3" s="16"/>
      <c r="AP3" s="15">
        <v>64</v>
      </c>
      <c r="AQ3" s="15">
        <f t="shared" ref="AQ3:AQ18" si="18">$C3*AP3</f>
        <v>0</v>
      </c>
      <c r="AR3" s="15">
        <f t="shared" ref="AR3:AR18" si="19">$D3*(6-$C3)*AP3</f>
        <v>384</v>
      </c>
      <c r="AS3" s="16"/>
      <c r="AT3" s="15">
        <v>63</v>
      </c>
      <c r="AU3" s="15">
        <f t="shared" ref="AU3:AU18" si="20">$C3*AT3</f>
        <v>0</v>
      </c>
      <c r="AV3" s="15">
        <f t="shared" ref="AV3:AV18" si="21">$D3*(6-$C3)*AT3</f>
        <v>378</v>
      </c>
      <c r="AW3" s="16"/>
      <c r="AX3" s="15">
        <v>63</v>
      </c>
      <c r="AY3" s="15">
        <f t="shared" ref="AY3:AY18" si="22">$C3*AX3</f>
        <v>0</v>
      </c>
      <c r="AZ3" s="15">
        <f t="shared" ref="AZ3:AZ18" si="23">$D3*(6-$C3)*AX3</f>
        <v>378</v>
      </c>
      <c r="BA3" s="16"/>
      <c r="BB3" s="15">
        <v>60</v>
      </c>
      <c r="BC3" s="15">
        <f t="shared" ref="BC3:BC18" si="24">$C3*BB3</f>
        <v>0</v>
      </c>
      <c r="BD3" s="15">
        <f t="shared" ref="BD3:BD18" si="25">$D3*(6-$C3)*BB3</f>
        <v>360</v>
      </c>
      <c r="BE3" s="16"/>
      <c r="BF3" s="15">
        <v>63</v>
      </c>
      <c r="BG3" s="15">
        <f t="shared" ref="BG3:BG18" si="26">$C3*BF3</f>
        <v>0</v>
      </c>
      <c r="BH3" s="15">
        <f t="shared" ref="BH3:BH18" si="27">$D3*(6-$C3)*BF3</f>
        <v>378</v>
      </c>
      <c r="BI3" s="16"/>
      <c r="BJ3" s="15">
        <v>64</v>
      </c>
      <c r="BK3" s="15">
        <f t="shared" ref="BK3:BK18" si="28">$C3*BJ3</f>
        <v>0</v>
      </c>
      <c r="BL3" s="15">
        <f t="shared" ref="BL3:BL18" si="29">$D3*(6-$C3)*BJ3</f>
        <v>384</v>
      </c>
      <c r="BM3" s="16"/>
      <c r="BN3" s="15">
        <v>58</v>
      </c>
      <c r="BO3" s="15">
        <f t="shared" ref="BO3:BO18" si="30">$C3*BN3</f>
        <v>0</v>
      </c>
      <c r="BP3" s="15">
        <f t="shared" ref="BP3:BP18" si="31">$D3*(6-$C3)*BN3</f>
        <v>348</v>
      </c>
      <c r="BQ3" s="16"/>
      <c r="BR3" s="15">
        <v>56</v>
      </c>
      <c r="BS3" s="15">
        <f t="shared" ref="BS3:BS18" si="32">$C3*BR3</f>
        <v>0</v>
      </c>
      <c r="BT3" s="15">
        <f t="shared" ref="BT3:BT18" si="33">$D3*(6-$C3)*BR3</f>
        <v>336</v>
      </c>
      <c r="BU3" s="16"/>
      <c r="BV3" s="15">
        <v>60</v>
      </c>
      <c r="BW3" s="15">
        <f t="shared" ref="BW3:BW18" si="34">$C3*BV3</f>
        <v>0</v>
      </c>
      <c r="BX3" s="15">
        <f t="shared" ref="BX3:BX18" si="35">$D3*(6-$C3)*BV3</f>
        <v>360</v>
      </c>
      <c r="BY3" s="16"/>
      <c r="BZ3" s="15">
        <v>64</v>
      </c>
      <c r="CA3" s="15">
        <f t="shared" ref="CA3:CA18" si="36">$C3*BZ3</f>
        <v>0</v>
      </c>
      <c r="CB3" s="15">
        <f t="shared" ref="CB3:CB18" si="37">$D3*(6-$C3)*BZ3</f>
        <v>384</v>
      </c>
      <c r="CC3" s="16"/>
      <c r="CD3" s="15">
        <v>63</v>
      </c>
      <c r="CE3" s="15">
        <f t="shared" ref="CE3:CE18" si="38">$C3*CD3</f>
        <v>0</v>
      </c>
      <c r="CF3" s="15">
        <f t="shared" ref="CF3:CF18" si="39">$D3*(6-$C3)*CD3</f>
        <v>378</v>
      </c>
      <c r="CG3" s="16"/>
      <c r="CH3" s="15">
        <v>60</v>
      </c>
      <c r="CI3" s="15">
        <f t="shared" ref="CI3:CI18" si="40">$C3*CH3</f>
        <v>0</v>
      </c>
      <c r="CJ3" s="15">
        <f t="shared" ref="CJ3:CJ18" si="41">$D3*(6-$C3)*CH3</f>
        <v>360</v>
      </c>
      <c r="CK3" s="16"/>
      <c r="CL3" s="15">
        <v>64</v>
      </c>
      <c r="CM3" s="15">
        <f t="shared" ref="CM3:CM18" si="42">$C3*CL3</f>
        <v>0</v>
      </c>
      <c r="CN3" s="15">
        <f t="shared" ref="CN3:CN18" si="43">$D3*(6-$C3)*CL3</f>
        <v>384</v>
      </c>
      <c r="CO3" s="16"/>
      <c r="CP3" s="15">
        <v>60</v>
      </c>
      <c r="CQ3" s="15">
        <f t="shared" ref="CQ3:CQ18" si="44">$C3*CP3</f>
        <v>0</v>
      </c>
      <c r="CR3" s="15">
        <f t="shared" ref="CR3:CR18" si="45">$D3*(6-$C3)*CP3</f>
        <v>360</v>
      </c>
      <c r="CS3" s="16"/>
      <c r="CT3" s="15">
        <v>62</v>
      </c>
      <c r="CU3" s="15">
        <f t="shared" ref="CU3:CU18" si="46">$C3*CT3</f>
        <v>0</v>
      </c>
      <c r="CV3" s="15">
        <f t="shared" ref="CV3:CV18" si="47">$D3*(6-$C3)*CT3</f>
        <v>372</v>
      </c>
      <c r="CW3" s="16"/>
      <c r="CX3" s="15">
        <v>61</v>
      </c>
      <c r="CY3" s="15">
        <f t="shared" ref="CY3:CY18" si="48">$C3*CX3</f>
        <v>0</v>
      </c>
      <c r="CZ3" s="15">
        <f t="shared" ref="CZ3:CZ18" si="49">$D3*(6-$C3)*CX3</f>
        <v>366</v>
      </c>
      <c r="DA3" s="16"/>
      <c r="DB3" s="15">
        <v>63</v>
      </c>
      <c r="DC3" s="15">
        <f t="shared" ref="DC3:DC18" si="50">$C3*DB3</f>
        <v>0</v>
      </c>
      <c r="DD3" s="15">
        <f t="shared" ref="DD3:DD18" si="51">$D3*(6-$C3)*DB3</f>
        <v>378</v>
      </c>
      <c r="DE3" s="16"/>
      <c r="DF3" s="15">
        <v>64</v>
      </c>
      <c r="DG3" s="15">
        <f t="shared" ref="DG3:DG18" si="52">$C3*DF3</f>
        <v>0</v>
      </c>
      <c r="DH3" s="15">
        <f t="shared" ref="DH3:DH18" si="53">$D3*(6-$C3)*DF3</f>
        <v>384</v>
      </c>
      <c r="DI3" s="16"/>
      <c r="DJ3" s="15"/>
      <c r="DK3" s="15">
        <f t="shared" ref="DK3:DK18" si="54">$C3*DJ3</f>
        <v>0</v>
      </c>
      <c r="DL3" s="15">
        <f t="shared" ref="DL3:DL18" si="55">$D3*(6-$C3)*DJ3</f>
        <v>0</v>
      </c>
      <c r="DM3" s="16"/>
      <c r="DN3" s="15"/>
      <c r="DO3" s="15">
        <f t="shared" ref="DO3:DO18" si="56">$C3*DN3</f>
        <v>0</v>
      </c>
      <c r="DP3" s="15">
        <f t="shared" ref="DP3:DP18" si="57">$D3*(6-$C3)*DN3</f>
        <v>0</v>
      </c>
      <c r="DQ3" s="16"/>
      <c r="DR3" s="15"/>
      <c r="DS3" s="15">
        <f t="shared" ref="DS3:DS18" si="58">$C3*DR3</f>
        <v>0</v>
      </c>
      <c r="DT3" s="15">
        <f t="shared" ref="DT3:DT18" si="59">$D3*(6-$C3)*DR3</f>
        <v>0</v>
      </c>
      <c r="DU3" s="16"/>
      <c r="DV3" s="15"/>
      <c r="DW3" s="15"/>
      <c r="DX3" s="15">
        <f t="shared" ref="DX3:DX18" si="60">A3*C3</f>
        <v>0</v>
      </c>
      <c r="DZ3" s="15">
        <f t="shared" ref="DZ3:DZ18" si="61">MAX($F3,$J3,$N3,$R3,$V3,$Z3,$AD3,$AH3,$AL3,$AP3,$AT3,$AX3,$BB3,$BF3,$BJ3,$BN3,$BR3,$BV3,$BZ3,$CD3,$CH3,$CL3,$CP3)</f>
        <v>64</v>
      </c>
      <c r="EA3" s="15">
        <f t="shared" ref="EA3:EA18" si="62">MIN($F3,$J3,$N3,$R3,$V3,$Z3,$AD3,$AH3,$AL3,$AP3,$AT3,$AX3,$BB3,$BF3,$BJ3,$BN3,$BR3,$BV3,$BZ3,$CD3,$CH3,$CL3,$CP3)</f>
        <v>54</v>
      </c>
    </row>
    <row r="4" spans="1:131" s="14" customFormat="1" x14ac:dyDescent="0.2">
      <c r="A4" s="15">
        <v>16</v>
      </c>
      <c r="B4" s="32" t="s">
        <v>28</v>
      </c>
      <c r="C4" s="15">
        <v>0</v>
      </c>
      <c r="D4" s="15">
        <v>1</v>
      </c>
      <c r="E4" s="16"/>
      <c r="F4" s="15">
        <v>3</v>
      </c>
      <c r="G4" s="15">
        <f t="shared" si="0"/>
        <v>0</v>
      </c>
      <c r="H4" s="15">
        <f t="shared" si="1"/>
        <v>18</v>
      </c>
      <c r="I4" s="16"/>
      <c r="J4" s="15">
        <v>2</v>
      </c>
      <c r="K4" s="15">
        <f t="shared" si="2"/>
        <v>0</v>
      </c>
      <c r="L4" s="15">
        <f t="shared" si="3"/>
        <v>12</v>
      </c>
      <c r="M4" s="16"/>
      <c r="N4" s="15">
        <v>4</v>
      </c>
      <c r="O4" s="15">
        <f t="shared" si="4"/>
        <v>0</v>
      </c>
      <c r="P4" s="15">
        <f t="shared" si="5"/>
        <v>24</v>
      </c>
      <c r="Q4" s="16"/>
      <c r="R4" s="15">
        <v>6</v>
      </c>
      <c r="S4" s="15">
        <f t="shared" si="6"/>
        <v>0</v>
      </c>
      <c r="T4" s="15">
        <f t="shared" si="7"/>
        <v>36</v>
      </c>
      <c r="U4" s="16"/>
      <c r="V4" s="15">
        <v>3</v>
      </c>
      <c r="W4" s="15">
        <f t="shared" si="8"/>
        <v>0</v>
      </c>
      <c r="X4" s="15">
        <f t="shared" si="9"/>
        <v>18</v>
      </c>
      <c r="Y4" s="16"/>
      <c r="Z4" s="15">
        <v>26</v>
      </c>
      <c r="AA4" s="15">
        <f t="shared" si="10"/>
        <v>0</v>
      </c>
      <c r="AB4" s="15">
        <f t="shared" si="11"/>
        <v>156</v>
      </c>
      <c r="AC4" s="16"/>
      <c r="AD4" s="15">
        <v>1</v>
      </c>
      <c r="AE4" s="15">
        <f t="shared" si="12"/>
        <v>0</v>
      </c>
      <c r="AF4" s="15">
        <f t="shared" si="13"/>
        <v>6</v>
      </c>
      <c r="AG4" s="16"/>
      <c r="AH4" s="15">
        <v>5</v>
      </c>
      <c r="AI4" s="15">
        <f t="shared" si="14"/>
        <v>0</v>
      </c>
      <c r="AJ4" s="15">
        <f t="shared" si="15"/>
        <v>30</v>
      </c>
      <c r="AK4" s="16"/>
      <c r="AL4" s="15">
        <v>1</v>
      </c>
      <c r="AM4" s="15">
        <f t="shared" si="16"/>
        <v>0</v>
      </c>
      <c r="AN4" s="15">
        <f t="shared" si="17"/>
        <v>6</v>
      </c>
      <c r="AO4" s="16"/>
      <c r="AP4" s="15">
        <v>1</v>
      </c>
      <c r="AQ4" s="15">
        <f t="shared" si="18"/>
        <v>0</v>
      </c>
      <c r="AR4" s="15">
        <f t="shared" si="19"/>
        <v>6</v>
      </c>
      <c r="AS4" s="16"/>
      <c r="AT4" s="15">
        <v>2</v>
      </c>
      <c r="AU4" s="15">
        <f t="shared" si="20"/>
        <v>0</v>
      </c>
      <c r="AV4" s="15">
        <f t="shared" si="21"/>
        <v>12</v>
      </c>
      <c r="AW4" s="16"/>
      <c r="AX4" s="15">
        <v>1</v>
      </c>
      <c r="AY4" s="15">
        <f t="shared" si="22"/>
        <v>0</v>
      </c>
      <c r="AZ4" s="15">
        <f t="shared" si="23"/>
        <v>6</v>
      </c>
      <c r="BA4" s="16"/>
      <c r="BB4" s="15">
        <v>3</v>
      </c>
      <c r="BC4" s="15">
        <f t="shared" si="24"/>
        <v>0</v>
      </c>
      <c r="BD4" s="15">
        <f t="shared" si="25"/>
        <v>18</v>
      </c>
      <c r="BE4" s="16"/>
      <c r="BF4" s="15">
        <v>5</v>
      </c>
      <c r="BG4" s="15">
        <f t="shared" si="26"/>
        <v>0</v>
      </c>
      <c r="BH4" s="15">
        <f t="shared" si="27"/>
        <v>30</v>
      </c>
      <c r="BI4" s="16"/>
      <c r="BJ4" s="15">
        <v>4</v>
      </c>
      <c r="BK4" s="15">
        <f t="shared" si="28"/>
        <v>0</v>
      </c>
      <c r="BL4" s="15">
        <f t="shared" si="29"/>
        <v>24</v>
      </c>
      <c r="BM4" s="16"/>
      <c r="BN4" s="15">
        <v>4</v>
      </c>
      <c r="BO4" s="15">
        <f t="shared" si="30"/>
        <v>0</v>
      </c>
      <c r="BP4" s="15">
        <f t="shared" si="31"/>
        <v>24</v>
      </c>
      <c r="BQ4" s="16"/>
      <c r="BR4" s="15">
        <v>17</v>
      </c>
      <c r="BS4" s="15">
        <f t="shared" si="32"/>
        <v>0</v>
      </c>
      <c r="BT4" s="15">
        <f t="shared" si="33"/>
        <v>102</v>
      </c>
      <c r="BU4" s="16"/>
      <c r="BV4" s="15">
        <v>1</v>
      </c>
      <c r="BW4" s="15">
        <f t="shared" si="34"/>
        <v>0</v>
      </c>
      <c r="BX4" s="15">
        <f t="shared" si="35"/>
        <v>6</v>
      </c>
      <c r="BY4" s="16"/>
      <c r="BZ4" s="15">
        <v>5</v>
      </c>
      <c r="CA4" s="15">
        <f t="shared" si="36"/>
        <v>0</v>
      </c>
      <c r="CB4" s="15">
        <f t="shared" si="37"/>
        <v>30</v>
      </c>
      <c r="CC4" s="16"/>
      <c r="CD4" s="15">
        <v>1</v>
      </c>
      <c r="CE4" s="15">
        <f t="shared" si="38"/>
        <v>0</v>
      </c>
      <c r="CF4" s="15">
        <f t="shared" si="39"/>
        <v>6</v>
      </c>
      <c r="CG4" s="16"/>
      <c r="CH4" s="15">
        <v>4</v>
      </c>
      <c r="CI4" s="15">
        <f t="shared" si="40"/>
        <v>0</v>
      </c>
      <c r="CJ4" s="15">
        <f t="shared" si="41"/>
        <v>24</v>
      </c>
      <c r="CK4" s="16"/>
      <c r="CL4" s="15">
        <v>3</v>
      </c>
      <c r="CM4" s="15">
        <f t="shared" si="42"/>
        <v>0</v>
      </c>
      <c r="CN4" s="15">
        <f t="shared" si="43"/>
        <v>18</v>
      </c>
      <c r="CO4" s="16"/>
      <c r="CP4" s="15">
        <v>6</v>
      </c>
      <c r="CQ4" s="15">
        <f t="shared" si="44"/>
        <v>0</v>
      </c>
      <c r="CR4" s="15">
        <f t="shared" si="45"/>
        <v>36</v>
      </c>
      <c r="CS4" s="16"/>
      <c r="CT4" s="15">
        <v>3</v>
      </c>
      <c r="CU4" s="15">
        <f t="shared" si="46"/>
        <v>0</v>
      </c>
      <c r="CV4" s="15">
        <f t="shared" si="47"/>
        <v>18</v>
      </c>
      <c r="CW4" s="16"/>
      <c r="CX4" s="15">
        <v>1</v>
      </c>
      <c r="CY4" s="15">
        <f t="shared" si="48"/>
        <v>0</v>
      </c>
      <c r="CZ4" s="15">
        <f t="shared" si="49"/>
        <v>6</v>
      </c>
      <c r="DA4" s="16"/>
      <c r="DB4" s="15">
        <v>1</v>
      </c>
      <c r="DC4" s="15">
        <f t="shared" si="50"/>
        <v>0</v>
      </c>
      <c r="DD4" s="15">
        <f t="shared" si="51"/>
        <v>6</v>
      </c>
      <c r="DE4" s="16"/>
      <c r="DF4" s="15">
        <v>1</v>
      </c>
      <c r="DG4" s="15">
        <f t="shared" si="52"/>
        <v>0</v>
      </c>
      <c r="DH4" s="15">
        <f t="shared" si="53"/>
        <v>6</v>
      </c>
      <c r="DI4" s="16"/>
      <c r="DJ4" s="15"/>
      <c r="DK4" s="15">
        <f t="shared" si="54"/>
        <v>0</v>
      </c>
      <c r="DL4" s="15">
        <f t="shared" si="55"/>
        <v>0</v>
      </c>
      <c r="DM4" s="16"/>
      <c r="DN4" s="15"/>
      <c r="DO4" s="15">
        <f t="shared" si="56"/>
        <v>0</v>
      </c>
      <c r="DP4" s="15">
        <f t="shared" si="57"/>
        <v>0</v>
      </c>
      <c r="DQ4" s="16"/>
      <c r="DR4" s="15"/>
      <c r="DS4" s="15">
        <f t="shared" si="58"/>
        <v>0</v>
      </c>
      <c r="DT4" s="15">
        <f t="shared" si="59"/>
        <v>0</v>
      </c>
      <c r="DU4" s="16"/>
      <c r="DV4" s="15"/>
      <c r="DW4" s="15"/>
      <c r="DX4" s="15">
        <f t="shared" si="60"/>
        <v>0</v>
      </c>
      <c r="DZ4" s="15">
        <f t="shared" si="61"/>
        <v>26</v>
      </c>
      <c r="EA4" s="15">
        <f t="shared" si="62"/>
        <v>1</v>
      </c>
    </row>
    <row r="5" spans="1:131" s="14" customFormat="1" x14ac:dyDescent="0.2">
      <c r="A5" s="15">
        <v>8</v>
      </c>
      <c r="B5" s="14" t="s">
        <v>29</v>
      </c>
      <c r="C5" s="15">
        <v>0</v>
      </c>
      <c r="D5" s="15">
        <v>1</v>
      </c>
      <c r="E5" s="16"/>
      <c r="F5" s="15">
        <v>30</v>
      </c>
      <c r="G5" s="15">
        <f t="shared" si="0"/>
        <v>0</v>
      </c>
      <c r="H5" s="15">
        <f t="shared" si="1"/>
        <v>180</v>
      </c>
      <c r="I5" s="16"/>
      <c r="J5" s="15">
        <v>35</v>
      </c>
      <c r="K5" s="15">
        <f t="shared" si="2"/>
        <v>0</v>
      </c>
      <c r="L5" s="15">
        <f t="shared" si="3"/>
        <v>210</v>
      </c>
      <c r="M5" s="16"/>
      <c r="N5" s="15">
        <v>39</v>
      </c>
      <c r="O5" s="15">
        <f t="shared" si="4"/>
        <v>0</v>
      </c>
      <c r="P5" s="15">
        <f t="shared" si="5"/>
        <v>234</v>
      </c>
      <c r="Q5" s="16"/>
      <c r="R5" s="15">
        <v>36</v>
      </c>
      <c r="S5" s="15">
        <f t="shared" si="6"/>
        <v>0</v>
      </c>
      <c r="T5" s="15">
        <f t="shared" si="7"/>
        <v>216</v>
      </c>
      <c r="U5" s="16"/>
      <c r="V5" s="15">
        <v>24</v>
      </c>
      <c r="W5" s="15">
        <f t="shared" si="8"/>
        <v>0</v>
      </c>
      <c r="X5" s="15">
        <f t="shared" si="9"/>
        <v>144</v>
      </c>
      <c r="Y5" s="16"/>
      <c r="Z5" s="15">
        <v>35</v>
      </c>
      <c r="AA5" s="15">
        <f t="shared" si="10"/>
        <v>0</v>
      </c>
      <c r="AB5" s="15">
        <f t="shared" si="11"/>
        <v>210</v>
      </c>
      <c r="AC5" s="16"/>
      <c r="AD5" s="15">
        <v>36</v>
      </c>
      <c r="AE5" s="15">
        <f t="shared" si="12"/>
        <v>0</v>
      </c>
      <c r="AF5" s="15">
        <f t="shared" si="13"/>
        <v>216</v>
      </c>
      <c r="AG5" s="16"/>
      <c r="AH5" s="15">
        <v>29</v>
      </c>
      <c r="AI5" s="15">
        <f t="shared" si="14"/>
        <v>0</v>
      </c>
      <c r="AJ5" s="15">
        <f t="shared" si="15"/>
        <v>174</v>
      </c>
      <c r="AK5" s="16"/>
      <c r="AL5" s="15">
        <v>36</v>
      </c>
      <c r="AM5" s="15">
        <f t="shared" si="16"/>
        <v>0</v>
      </c>
      <c r="AN5" s="15">
        <f t="shared" si="17"/>
        <v>216</v>
      </c>
      <c r="AO5" s="16"/>
      <c r="AP5" s="15">
        <v>41</v>
      </c>
      <c r="AQ5" s="15">
        <f t="shared" si="18"/>
        <v>0</v>
      </c>
      <c r="AR5" s="15">
        <f t="shared" si="19"/>
        <v>246</v>
      </c>
      <c r="AS5" s="16"/>
      <c r="AT5" s="15">
        <v>33</v>
      </c>
      <c r="AU5" s="15">
        <f t="shared" si="20"/>
        <v>0</v>
      </c>
      <c r="AV5" s="15">
        <f t="shared" si="21"/>
        <v>198</v>
      </c>
      <c r="AW5" s="16"/>
      <c r="AX5" s="15">
        <v>35</v>
      </c>
      <c r="AY5" s="15">
        <f t="shared" si="22"/>
        <v>0</v>
      </c>
      <c r="AZ5" s="15">
        <f t="shared" si="23"/>
        <v>210</v>
      </c>
      <c r="BA5" s="16"/>
      <c r="BB5" s="15">
        <v>32</v>
      </c>
      <c r="BC5" s="15">
        <f t="shared" si="24"/>
        <v>0</v>
      </c>
      <c r="BD5" s="15">
        <f t="shared" si="25"/>
        <v>192</v>
      </c>
      <c r="BE5" s="16"/>
      <c r="BF5" s="15">
        <v>39</v>
      </c>
      <c r="BG5" s="15">
        <f t="shared" si="26"/>
        <v>0</v>
      </c>
      <c r="BH5" s="15">
        <f t="shared" si="27"/>
        <v>234</v>
      </c>
      <c r="BI5" s="16"/>
      <c r="BJ5" s="15">
        <v>42</v>
      </c>
      <c r="BK5" s="15">
        <f t="shared" si="28"/>
        <v>0</v>
      </c>
      <c r="BL5" s="15">
        <f t="shared" si="29"/>
        <v>252</v>
      </c>
      <c r="BM5" s="16"/>
      <c r="BN5" s="15">
        <v>38</v>
      </c>
      <c r="BO5" s="15">
        <f t="shared" si="30"/>
        <v>0</v>
      </c>
      <c r="BP5" s="15">
        <f t="shared" si="31"/>
        <v>228</v>
      </c>
      <c r="BQ5" s="16"/>
      <c r="BR5" s="15">
        <v>57</v>
      </c>
      <c r="BS5" s="15">
        <f t="shared" si="32"/>
        <v>0</v>
      </c>
      <c r="BT5" s="15">
        <f t="shared" si="33"/>
        <v>342</v>
      </c>
      <c r="BU5" s="16"/>
      <c r="BV5" s="15">
        <v>51</v>
      </c>
      <c r="BW5" s="15">
        <f t="shared" si="34"/>
        <v>0</v>
      </c>
      <c r="BX5" s="15">
        <f t="shared" si="35"/>
        <v>306</v>
      </c>
      <c r="BY5" s="16"/>
      <c r="BZ5" s="15">
        <v>27</v>
      </c>
      <c r="CA5" s="15">
        <f t="shared" si="36"/>
        <v>0</v>
      </c>
      <c r="CB5" s="15">
        <f t="shared" si="37"/>
        <v>162</v>
      </c>
      <c r="CC5" s="16"/>
      <c r="CD5" s="15">
        <v>22</v>
      </c>
      <c r="CE5" s="15">
        <f t="shared" si="38"/>
        <v>0</v>
      </c>
      <c r="CF5" s="15">
        <f t="shared" si="39"/>
        <v>132</v>
      </c>
      <c r="CG5" s="16"/>
      <c r="CH5" s="15">
        <v>30</v>
      </c>
      <c r="CI5" s="15">
        <f t="shared" si="40"/>
        <v>0</v>
      </c>
      <c r="CJ5" s="15">
        <f t="shared" si="41"/>
        <v>180</v>
      </c>
      <c r="CK5" s="16"/>
      <c r="CL5" s="15">
        <v>27</v>
      </c>
      <c r="CM5" s="15">
        <f t="shared" si="42"/>
        <v>0</v>
      </c>
      <c r="CN5" s="15">
        <f t="shared" si="43"/>
        <v>162</v>
      </c>
      <c r="CO5" s="16"/>
      <c r="CP5" s="15">
        <v>39</v>
      </c>
      <c r="CQ5" s="15">
        <f t="shared" si="44"/>
        <v>0</v>
      </c>
      <c r="CR5" s="15">
        <f t="shared" si="45"/>
        <v>234</v>
      </c>
      <c r="CS5" s="16"/>
      <c r="CT5" s="15">
        <v>23</v>
      </c>
      <c r="CU5" s="15">
        <f t="shared" si="46"/>
        <v>0</v>
      </c>
      <c r="CV5" s="15">
        <f t="shared" si="47"/>
        <v>138</v>
      </c>
      <c r="CW5" s="16"/>
      <c r="CX5" s="15">
        <v>26</v>
      </c>
      <c r="CY5" s="15">
        <f t="shared" si="48"/>
        <v>0</v>
      </c>
      <c r="CZ5" s="15">
        <f t="shared" si="49"/>
        <v>156</v>
      </c>
      <c r="DA5" s="16"/>
      <c r="DB5" s="15">
        <v>37</v>
      </c>
      <c r="DC5" s="15">
        <f t="shared" si="50"/>
        <v>0</v>
      </c>
      <c r="DD5" s="15">
        <f t="shared" si="51"/>
        <v>222</v>
      </c>
      <c r="DE5" s="16"/>
      <c r="DF5" s="15">
        <v>36</v>
      </c>
      <c r="DG5" s="15">
        <f t="shared" si="52"/>
        <v>0</v>
      </c>
      <c r="DH5" s="15">
        <f t="shared" si="53"/>
        <v>216</v>
      </c>
      <c r="DI5" s="16"/>
      <c r="DJ5" s="15"/>
      <c r="DK5" s="15">
        <f t="shared" si="54"/>
        <v>0</v>
      </c>
      <c r="DL5" s="15">
        <f t="shared" si="55"/>
        <v>0</v>
      </c>
      <c r="DM5" s="16"/>
      <c r="DN5" s="15"/>
      <c r="DO5" s="15">
        <f t="shared" si="56"/>
        <v>0</v>
      </c>
      <c r="DP5" s="15">
        <f t="shared" si="57"/>
        <v>0</v>
      </c>
      <c r="DQ5" s="16"/>
      <c r="DR5" s="15"/>
      <c r="DS5" s="15">
        <f t="shared" si="58"/>
        <v>0</v>
      </c>
      <c r="DT5" s="15">
        <f t="shared" si="59"/>
        <v>0</v>
      </c>
      <c r="DU5" s="16"/>
      <c r="DV5" s="15"/>
      <c r="DW5" s="15"/>
      <c r="DX5" s="15">
        <f t="shared" si="60"/>
        <v>0</v>
      </c>
      <c r="DZ5" s="15">
        <f t="shared" si="61"/>
        <v>57</v>
      </c>
      <c r="EA5" s="15">
        <f t="shared" si="62"/>
        <v>22</v>
      </c>
    </row>
    <row r="6" spans="1:131" s="14" customFormat="1" x14ac:dyDescent="0.2">
      <c r="A6" s="15">
        <v>9</v>
      </c>
      <c r="B6" s="14" t="s">
        <v>30</v>
      </c>
      <c r="C6" s="15">
        <v>0</v>
      </c>
      <c r="D6" s="15">
        <v>1</v>
      </c>
      <c r="E6" s="16"/>
      <c r="F6" s="15">
        <v>25</v>
      </c>
      <c r="G6" s="15">
        <f t="shared" si="0"/>
        <v>0</v>
      </c>
      <c r="H6" s="15">
        <f t="shared" si="1"/>
        <v>150</v>
      </c>
      <c r="I6" s="16"/>
      <c r="J6" s="15">
        <v>29</v>
      </c>
      <c r="K6" s="15">
        <f t="shared" si="2"/>
        <v>0</v>
      </c>
      <c r="L6" s="15">
        <f t="shared" si="3"/>
        <v>174</v>
      </c>
      <c r="M6" s="16"/>
      <c r="N6" s="15">
        <v>30</v>
      </c>
      <c r="O6" s="15">
        <f t="shared" si="4"/>
        <v>0</v>
      </c>
      <c r="P6" s="15">
        <f t="shared" si="5"/>
        <v>180</v>
      </c>
      <c r="Q6" s="16"/>
      <c r="R6" s="15">
        <v>35</v>
      </c>
      <c r="S6" s="15">
        <f t="shared" si="6"/>
        <v>0</v>
      </c>
      <c r="T6" s="15">
        <f t="shared" si="7"/>
        <v>210</v>
      </c>
      <c r="U6" s="16"/>
      <c r="V6" s="15">
        <v>25</v>
      </c>
      <c r="W6" s="15">
        <f t="shared" si="8"/>
        <v>0</v>
      </c>
      <c r="X6" s="15">
        <f t="shared" si="9"/>
        <v>150</v>
      </c>
      <c r="Y6" s="16"/>
      <c r="Z6" s="15">
        <v>27</v>
      </c>
      <c r="AA6" s="15">
        <f t="shared" si="10"/>
        <v>0</v>
      </c>
      <c r="AB6" s="15">
        <f t="shared" si="11"/>
        <v>162</v>
      </c>
      <c r="AC6" s="16"/>
      <c r="AD6" s="15">
        <v>35</v>
      </c>
      <c r="AE6" s="15">
        <f t="shared" si="12"/>
        <v>0</v>
      </c>
      <c r="AF6" s="15">
        <f t="shared" si="13"/>
        <v>210</v>
      </c>
      <c r="AG6" s="16"/>
      <c r="AH6" s="15">
        <v>26</v>
      </c>
      <c r="AI6" s="15">
        <f t="shared" si="14"/>
        <v>0</v>
      </c>
      <c r="AJ6" s="15">
        <f t="shared" si="15"/>
        <v>156</v>
      </c>
      <c r="AK6" s="16"/>
      <c r="AL6" s="15">
        <v>24</v>
      </c>
      <c r="AM6" s="15">
        <f t="shared" si="16"/>
        <v>0</v>
      </c>
      <c r="AN6" s="15">
        <f t="shared" si="17"/>
        <v>144</v>
      </c>
      <c r="AO6" s="16"/>
      <c r="AP6" s="15">
        <v>25</v>
      </c>
      <c r="AQ6" s="15">
        <f t="shared" si="18"/>
        <v>0</v>
      </c>
      <c r="AR6" s="15">
        <f t="shared" si="19"/>
        <v>150</v>
      </c>
      <c r="AS6" s="16"/>
      <c r="AT6" s="15">
        <v>32</v>
      </c>
      <c r="AU6" s="15">
        <f t="shared" si="20"/>
        <v>0</v>
      </c>
      <c r="AV6" s="15">
        <f t="shared" si="21"/>
        <v>192</v>
      </c>
      <c r="AW6" s="16"/>
      <c r="AX6" s="15">
        <v>27</v>
      </c>
      <c r="AY6" s="15">
        <f t="shared" si="22"/>
        <v>0</v>
      </c>
      <c r="AZ6" s="15">
        <f t="shared" si="23"/>
        <v>162</v>
      </c>
      <c r="BA6" s="16"/>
      <c r="BB6" s="15">
        <v>28</v>
      </c>
      <c r="BC6" s="15">
        <f t="shared" si="24"/>
        <v>0</v>
      </c>
      <c r="BD6" s="15">
        <f t="shared" si="25"/>
        <v>168</v>
      </c>
      <c r="BE6" s="16"/>
      <c r="BF6" s="15">
        <v>27</v>
      </c>
      <c r="BG6" s="15">
        <f t="shared" si="26"/>
        <v>0</v>
      </c>
      <c r="BH6" s="15">
        <f t="shared" si="27"/>
        <v>162</v>
      </c>
      <c r="BI6" s="16"/>
      <c r="BJ6" s="15">
        <v>33</v>
      </c>
      <c r="BK6" s="15">
        <f t="shared" si="28"/>
        <v>0</v>
      </c>
      <c r="BL6" s="15">
        <f t="shared" si="29"/>
        <v>198</v>
      </c>
      <c r="BM6" s="16"/>
      <c r="BN6" s="15">
        <v>34</v>
      </c>
      <c r="BO6" s="15">
        <f t="shared" si="30"/>
        <v>0</v>
      </c>
      <c r="BP6" s="15">
        <f t="shared" si="31"/>
        <v>204</v>
      </c>
      <c r="BQ6" s="16"/>
      <c r="BR6" s="15">
        <v>18</v>
      </c>
      <c r="BS6" s="15">
        <f t="shared" si="32"/>
        <v>0</v>
      </c>
      <c r="BT6" s="15">
        <f t="shared" si="33"/>
        <v>108</v>
      </c>
      <c r="BU6" s="16"/>
      <c r="BV6" s="15">
        <v>2</v>
      </c>
      <c r="BW6" s="15">
        <f t="shared" si="34"/>
        <v>0</v>
      </c>
      <c r="BX6" s="15">
        <f t="shared" si="35"/>
        <v>12</v>
      </c>
      <c r="BY6" s="16"/>
      <c r="BZ6" s="15">
        <v>26</v>
      </c>
      <c r="CA6" s="15">
        <f t="shared" si="36"/>
        <v>0</v>
      </c>
      <c r="CB6" s="15">
        <f t="shared" si="37"/>
        <v>156</v>
      </c>
      <c r="CC6" s="16"/>
      <c r="CD6" s="15">
        <v>34</v>
      </c>
      <c r="CE6" s="15">
        <f t="shared" si="38"/>
        <v>0</v>
      </c>
      <c r="CF6" s="15">
        <f t="shared" si="39"/>
        <v>204</v>
      </c>
      <c r="CG6" s="16"/>
      <c r="CH6" s="15">
        <v>22</v>
      </c>
      <c r="CI6" s="15">
        <f t="shared" si="40"/>
        <v>0</v>
      </c>
      <c r="CJ6" s="15">
        <f t="shared" si="41"/>
        <v>132</v>
      </c>
      <c r="CK6" s="16"/>
      <c r="CL6" s="15">
        <v>34</v>
      </c>
      <c r="CM6" s="15">
        <f t="shared" si="42"/>
        <v>0</v>
      </c>
      <c r="CN6" s="15">
        <f t="shared" si="43"/>
        <v>204</v>
      </c>
      <c r="CO6" s="16"/>
      <c r="CP6" s="15">
        <v>27</v>
      </c>
      <c r="CQ6" s="15">
        <f t="shared" si="44"/>
        <v>0</v>
      </c>
      <c r="CR6" s="15">
        <f t="shared" si="45"/>
        <v>162</v>
      </c>
      <c r="CS6" s="16"/>
      <c r="CT6" s="15">
        <v>42</v>
      </c>
      <c r="CU6" s="15">
        <f t="shared" si="46"/>
        <v>0</v>
      </c>
      <c r="CV6" s="15">
        <f t="shared" si="47"/>
        <v>252</v>
      </c>
      <c r="CW6" s="16"/>
      <c r="CX6" s="15">
        <v>18</v>
      </c>
      <c r="CY6" s="15">
        <f t="shared" si="48"/>
        <v>0</v>
      </c>
      <c r="CZ6" s="15">
        <f t="shared" si="49"/>
        <v>108</v>
      </c>
      <c r="DA6" s="16"/>
      <c r="DB6" s="15">
        <v>30</v>
      </c>
      <c r="DC6" s="15">
        <f t="shared" si="50"/>
        <v>0</v>
      </c>
      <c r="DD6" s="15">
        <f t="shared" si="51"/>
        <v>180</v>
      </c>
      <c r="DE6" s="16"/>
      <c r="DF6" s="15">
        <v>32</v>
      </c>
      <c r="DG6" s="15">
        <f t="shared" si="52"/>
        <v>0</v>
      </c>
      <c r="DH6" s="15">
        <f t="shared" si="53"/>
        <v>192</v>
      </c>
      <c r="DI6" s="16"/>
      <c r="DJ6" s="15"/>
      <c r="DK6" s="15">
        <f t="shared" si="54"/>
        <v>0</v>
      </c>
      <c r="DL6" s="15">
        <f t="shared" si="55"/>
        <v>0</v>
      </c>
      <c r="DM6" s="16"/>
      <c r="DN6" s="15"/>
      <c r="DO6" s="15">
        <f t="shared" si="56"/>
        <v>0</v>
      </c>
      <c r="DP6" s="15">
        <f t="shared" si="57"/>
        <v>0</v>
      </c>
      <c r="DQ6" s="16"/>
      <c r="DR6" s="15"/>
      <c r="DS6" s="15">
        <f t="shared" si="58"/>
        <v>0</v>
      </c>
      <c r="DT6" s="15">
        <f t="shared" si="59"/>
        <v>0</v>
      </c>
      <c r="DU6" s="16"/>
      <c r="DV6" s="15"/>
      <c r="DW6" s="15"/>
      <c r="DX6" s="15">
        <f t="shared" si="60"/>
        <v>0</v>
      </c>
      <c r="DZ6" s="15">
        <f t="shared" si="61"/>
        <v>35</v>
      </c>
      <c r="EA6" s="15">
        <f t="shared" si="62"/>
        <v>2</v>
      </c>
    </row>
    <row r="7" spans="1:131" s="14" customFormat="1" x14ac:dyDescent="0.2">
      <c r="A7" s="15">
        <v>5</v>
      </c>
      <c r="B7" s="14" t="s">
        <v>31</v>
      </c>
      <c r="C7" s="15">
        <v>0</v>
      </c>
      <c r="D7" s="15">
        <v>1</v>
      </c>
      <c r="E7" s="16"/>
      <c r="F7" s="15">
        <v>45</v>
      </c>
      <c r="G7" s="15">
        <f t="shared" si="0"/>
        <v>0</v>
      </c>
      <c r="H7" s="15">
        <f t="shared" si="1"/>
        <v>270</v>
      </c>
      <c r="I7" s="16"/>
      <c r="J7" s="15">
        <v>47</v>
      </c>
      <c r="K7" s="15">
        <f t="shared" si="2"/>
        <v>0</v>
      </c>
      <c r="L7" s="15">
        <f t="shared" si="3"/>
        <v>282</v>
      </c>
      <c r="M7" s="16"/>
      <c r="N7" s="15">
        <v>49</v>
      </c>
      <c r="O7" s="15">
        <f t="shared" si="4"/>
        <v>0</v>
      </c>
      <c r="P7" s="15">
        <f t="shared" si="5"/>
        <v>294</v>
      </c>
      <c r="Q7" s="16"/>
      <c r="R7" s="15">
        <v>58</v>
      </c>
      <c r="S7" s="15">
        <f t="shared" si="6"/>
        <v>0</v>
      </c>
      <c r="T7" s="15">
        <f t="shared" si="7"/>
        <v>348</v>
      </c>
      <c r="U7" s="16"/>
      <c r="V7" s="15">
        <v>55</v>
      </c>
      <c r="W7" s="15">
        <f t="shared" si="8"/>
        <v>0</v>
      </c>
      <c r="X7" s="15">
        <f t="shared" si="9"/>
        <v>330</v>
      </c>
      <c r="Y7" s="16"/>
      <c r="Z7" s="15">
        <v>57</v>
      </c>
      <c r="AA7" s="15">
        <f t="shared" si="10"/>
        <v>0</v>
      </c>
      <c r="AB7" s="15">
        <f t="shared" si="11"/>
        <v>342</v>
      </c>
      <c r="AC7" s="16"/>
      <c r="AD7" s="15">
        <v>54</v>
      </c>
      <c r="AE7" s="15">
        <f t="shared" si="12"/>
        <v>0</v>
      </c>
      <c r="AF7" s="15">
        <f t="shared" si="13"/>
        <v>324</v>
      </c>
      <c r="AG7" s="16"/>
      <c r="AH7" s="15">
        <v>52</v>
      </c>
      <c r="AI7" s="15">
        <f t="shared" si="14"/>
        <v>0</v>
      </c>
      <c r="AJ7" s="15">
        <f t="shared" si="15"/>
        <v>312</v>
      </c>
      <c r="AK7" s="16"/>
      <c r="AL7" s="15">
        <v>45</v>
      </c>
      <c r="AM7" s="15">
        <f t="shared" si="16"/>
        <v>0</v>
      </c>
      <c r="AN7" s="15">
        <f t="shared" si="17"/>
        <v>270</v>
      </c>
      <c r="AO7" s="16"/>
      <c r="AP7" s="15">
        <v>50</v>
      </c>
      <c r="AQ7" s="15">
        <f t="shared" si="18"/>
        <v>0</v>
      </c>
      <c r="AR7" s="15">
        <f t="shared" si="19"/>
        <v>300</v>
      </c>
      <c r="AS7" s="16"/>
      <c r="AT7" s="15">
        <v>23</v>
      </c>
      <c r="AU7" s="15">
        <f t="shared" si="20"/>
        <v>0</v>
      </c>
      <c r="AV7" s="15">
        <f t="shared" si="21"/>
        <v>138</v>
      </c>
      <c r="AW7" s="16"/>
      <c r="AX7" s="15">
        <v>54</v>
      </c>
      <c r="AY7" s="15">
        <f t="shared" si="22"/>
        <v>0</v>
      </c>
      <c r="AZ7" s="15">
        <f t="shared" si="23"/>
        <v>324</v>
      </c>
      <c r="BA7" s="16"/>
      <c r="BB7" s="15">
        <v>54</v>
      </c>
      <c r="BC7" s="15">
        <f t="shared" si="24"/>
        <v>0</v>
      </c>
      <c r="BD7" s="15">
        <f t="shared" si="25"/>
        <v>324</v>
      </c>
      <c r="BE7" s="16"/>
      <c r="BF7" s="15">
        <v>55</v>
      </c>
      <c r="BG7" s="15">
        <f t="shared" si="26"/>
        <v>0</v>
      </c>
      <c r="BH7" s="15">
        <f t="shared" si="27"/>
        <v>330</v>
      </c>
      <c r="BI7" s="16"/>
      <c r="BJ7" s="15">
        <v>58</v>
      </c>
      <c r="BK7" s="15">
        <f t="shared" si="28"/>
        <v>0</v>
      </c>
      <c r="BL7" s="15">
        <f t="shared" si="29"/>
        <v>348</v>
      </c>
      <c r="BM7" s="16"/>
      <c r="BN7" s="15">
        <v>62</v>
      </c>
      <c r="BO7" s="15">
        <f t="shared" si="30"/>
        <v>0</v>
      </c>
      <c r="BP7" s="15">
        <f t="shared" si="31"/>
        <v>372</v>
      </c>
      <c r="BQ7" s="16"/>
      <c r="BR7" s="15">
        <v>35</v>
      </c>
      <c r="BS7" s="15">
        <f t="shared" si="32"/>
        <v>0</v>
      </c>
      <c r="BT7" s="15">
        <f t="shared" si="33"/>
        <v>210</v>
      </c>
      <c r="BU7" s="16"/>
      <c r="BV7" s="15">
        <v>33</v>
      </c>
      <c r="BW7" s="15">
        <f t="shared" si="34"/>
        <v>0</v>
      </c>
      <c r="BX7" s="15">
        <f t="shared" si="35"/>
        <v>198</v>
      </c>
      <c r="BY7" s="16"/>
      <c r="BZ7" s="15">
        <v>52</v>
      </c>
      <c r="CA7" s="15">
        <f t="shared" si="36"/>
        <v>0</v>
      </c>
      <c r="CB7" s="15">
        <f t="shared" si="37"/>
        <v>312</v>
      </c>
      <c r="CC7" s="16"/>
      <c r="CD7" s="15">
        <v>52</v>
      </c>
      <c r="CE7" s="15">
        <f t="shared" si="38"/>
        <v>0</v>
      </c>
      <c r="CF7" s="15">
        <f t="shared" si="39"/>
        <v>312</v>
      </c>
      <c r="CG7" s="16"/>
      <c r="CH7" s="15">
        <v>39</v>
      </c>
      <c r="CI7" s="15">
        <f t="shared" si="40"/>
        <v>0</v>
      </c>
      <c r="CJ7" s="15">
        <f t="shared" si="41"/>
        <v>234</v>
      </c>
      <c r="CK7" s="16"/>
      <c r="CL7" s="15">
        <v>23</v>
      </c>
      <c r="CM7" s="15">
        <f t="shared" si="42"/>
        <v>0</v>
      </c>
      <c r="CN7" s="15">
        <f t="shared" si="43"/>
        <v>138</v>
      </c>
      <c r="CO7" s="16"/>
      <c r="CP7" s="15">
        <v>52</v>
      </c>
      <c r="CQ7" s="15">
        <f t="shared" si="44"/>
        <v>0</v>
      </c>
      <c r="CR7" s="15">
        <f t="shared" si="45"/>
        <v>312</v>
      </c>
      <c r="CS7" s="16"/>
      <c r="CT7" s="15">
        <v>37</v>
      </c>
      <c r="CU7" s="15">
        <f t="shared" si="46"/>
        <v>0</v>
      </c>
      <c r="CV7" s="15">
        <f t="shared" si="47"/>
        <v>222</v>
      </c>
      <c r="CW7" s="16"/>
      <c r="CX7" s="15">
        <v>52</v>
      </c>
      <c r="CY7" s="15">
        <f t="shared" si="48"/>
        <v>0</v>
      </c>
      <c r="CZ7" s="15">
        <f t="shared" si="49"/>
        <v>312</v>
      </c>
      <c r="DA7" s="16"/>
      <c r="DB7" s="15">
        <v>42</v>
      </c>
      <c r="DC7" s="15">
        <f t="shared" si="50"/>
        <v>0</v>
      </c>
      <c r="DD7" s="15">
        <f t="shared" si="51"/>
        <v>252</v>
      </c>
      <c r="DE7" s="16"/>
      <c r="DF7" s="15">
        <v>48</v>
      </c>
      <c r="DG7" s="15">
        <f t="shared" si="52"/>
        <v>0</v>
      </c>
      <c r="DH7" s="15">
        <f t="shared" si="53"/>
        <v>288</v>
      </c>
      <c r="DI7" s="16"/>
      <c r="DJ7" s="15"/>
      <c r="DK7" s="15">
        <f t="shared" si="54"/>
        <v>0</v>
      </c>
      <c r="DL7" s="15">
        <f t="shared" si="55"/>
        <v>0</v>
      </c>
      <c r="DM7" s="16"/>
      <c r="DN7" s="15"/>
      <c r="DO7" s="15">
        <f t="shared" si="56"/>
        <v>0</v>
      </c>
      <c r="DP7" s="15">
        <f t="shared" si="57"/>
        <v>0</v>
      </c>
      <c r="DQ7" s="16"/>
      <c r="DR7" s="15"/>
      <c r="DS7" s="15">
        <f t="shared" si="58"/>
        <v>0</v>
      </c>
      <c r="DT7" s="15">
        <f t="shared" si="59"/>
        <v>0</v>
      </c>
      <c r="DU7" s="16"/>
      <c r="DV7" s="15"/>
      <c r="DW7" s="15"/>
      <c r="DX7" s="15">
        <f t="shared" si="60"/>
        <v>0</v>
      </c>
      <c r="DZ7" s="15">
        <f t="shared" si="61"/>
        <v>62</v>
      </c>
      <c r="EA7" s="15">
        <f t="shared" si="62"/>
        <v>23</v>
      </c>
    </row>
    <row r="8" spans="1:131" s="14" customFormat="1" x14ac:dyDescent="0.2">
      <c r="A8" s="15">
        <v>12</v>
      </c>
      <c r="B8" s="32" t="s">
        <v>32</v>
      </c>
      <c r="C8" s="15">
        <v>0</v>
      </c>
      <c r="D8" s="15">
        <v>1</v>
      </c>
      <c r="E8" s="16"/>
      <c r="F8" s="15">
        <v>18</v>
      </c>
      <c r="G8" s="15">
        <f t="shared" si="0"/>
        <v>0</v>
      </c>
      <c r="H8" s="15">
        <f t="shared" si="1"/>
        <v>108</v>
      </c>
      <c r="I8" s="16"/>
      <c r="J8" s="15">
        <v>14</v>
      </c>
      <c r="K8" s="15">
        <f t="shared" si="2"/>
        <v>0</v>
      </c>
      <c r="L8" s="15">
        <f t="shared" si="3"/>
        <v>84</v>
      </c>
      <c r="M8" s="16"/>
      <c r="N8" s="15">
        <v>20</v>
      </c>
      <c r="O8" s="15">
        <f t="shared" si="4"/>
        <v>0</v>
      </c>
      <c r="P8" s="15">
        <f t="shared" si="5"/>
        <v>120</v>
      </c>
      <c r="Q8" s="16"/>
      <c r="R8" s="15">
        <v>25</v>
      </c>
      <c r="S8" s="15">
        <f t="shared" si="6"/>
        <v>0</v>
      </c>
      <c r="T8" s="15">
        <f t="shared" si="7"/>
        <v>150</v>
      </c>
      <c r="U8" s="16"/>
      <c r="V8" s="15">
        <v>17</v>
      </c>
      <c r="W8" s="15">
        <f t="shared" si="8"/>
        <v>0</v>
      </c>
      <c r="X8" s="15">
        <f t="shared" si="9"/>
        <v>102</v>
      </c>
      <c r="Y8" s="16"/>
      <c r="Z8" s="15">
        <v>6</v>
      </c>
      <c r="AA8" s="15">
        <f t="shared" si="10"/>
        <v>0</v>
      </c>
      <c r="AB8" s="15">
        <f t="shared" si="11"/>
        <v>36</v>
      </c>
      <c r="AC8" s="16"/>
      <c r="AD8" s="15">
        <v>26</v>
      </c>
      <c r="AE8" s="15">
        <f t="shared" si="12"/>
        <v>0</v>
      </c>
      <c r="AF8" s="15">
        <f t="shared" si="13"/>
        <v>156</v>
      </c>
      <c r="AG8" s="16"/>
      <c r="AH8" s="15">
        <v>14</v>
      </c>
      <c r="AI8" s="15">
        <f t="shared" si="14"/>
        <v>0</v>
      </c>
      <c r="AJ8" s="15">
        <f t="shared" si="15"/>
        <v>84</v>
      </c>
      <c r="AK8" s="16"/>
      <c r="AL8" s="15">
        <v>18</v>
      </c>
      <c r="AM8" s="15">
        <f t="shared" si="16"/>
        <v>0</v>
      </c>
      <c r="AN8" s="15">
        <f t="shared" si="17"/>
        <v>108</v>
      </c>
      <c r="AO8" s="16"/>
      <c r="AP8" s="15">
        <v>18</v>
      </c>
      <c r="AQ8" s="15">
        <f t="shared" si="18"/>
        <v>0</v>
      </c>
      <c r="AR8" s="15">
        <f t="shared" si="19"/>
        <v>108</v>
      </c>
      <c r="AS8" s="16"/>
      <c r="AT8" s="15">
        <v>9</v>
      </c>
      <c r="AU8" s="15">
        <f t="shared" si="20"/>
        <v>0</v>
      </c>
      <c r="AV8" s="15">
        <f t="shared" si="21"/>
        <v>54</v>
      </c>
      <c r="AW8" s="16"/>
      <c r="AX8" s="15">
        <v>18</v>
      </c>
      <c r="AY8" s="15">
        <f t="shared" si="22"/>
        <v>0</v>
      </c>
      <c r="AZ8" s="15">
        <f t="shared" si="23"/>
        <v>108</v>
      </c>
      <c r="BA8" s="16"/>
      <c r="BB8" s="15">
        <v>16</v>
      </c>
      <c r="BC8" s="15">
        <f t="shared" si="24"/>
        <v>0</v>
      </c>
      <c r="BD8" s="15">
        <f t="shared" si="25"/>
        <v>96</v>
      </c>
      <c r="BE8" s="16"/>
      <c r="BF8" s="15">
        <v>22</v>
      </c>
      <c r="BG8" s="15">
        <f t="shared" si="26"/>
        <v>0</v>
      </c>
      <c r="BH8" s="15">
        <f t="shared" si="27"/>
        <v>132</v>
      </c>
      <c r="BI8" s="16"/>
      <c r="BJ8" s="15">
        <v>17</v>
      </c>
      <c r="BK8" s="15">
        <f t="shared" si="28"/>
        <v>0</v>
      </c>
      <c r="BL8" s="15">
        <f t="shared" si="29"/>
        <v>102</v>
      </c>
      <c r="BM8" s="16"/>
      <c r="BN8" s="15">
        <v>17</v>
      </c>
      <c r="BO8" s="15">
        <f t="shared" si="30"/>
        <v>0</v>
      </c>
      <c r="BP8" s="15">
        <f t="shared" si="31"/>
        <v>102</v>
      </c>
      <c r="BQ8" s="16"/>
      <c r="BR8" s="15">
        <v>25</v>
      </c>
      <c r="BS8" s="15">
        <f t="shared" si="32"/>
        <v>0</v>
      </c>
      <c r="BT8" s="15">
        <f t="shared" si="33"/>
        <v>150</v>
      </c>
      <c r="BU8" s="16"/>
      <c r="BV8" s="15">
        <v>3</v>
      </c>
      <c r="BW8" s="15">
        <f t="shared" si="34"/>
        <v>0</v>
      </c>
      <c r="BX8" s="15">
        <f t="shared" si="35"/>
        <v>18</v>
      </c>
      <c r="BY8" s="16"/>
      <c r="BZ8" s="15">
        <v>28</v>
      </c>
      <c r="CA8" s="15">
        <f t="shared" si="36"/>
        <v>0</v>
      </c>
      <c r="CB8" s="15">
        <f t="shared" si="37"/>
        <v>168</v>
      </c>
      <c r="CC8" s="16"/>
      <c r="CD8" s="15">
        <v>16</v>
      </c>
      <c r="CE8" s="15">
        <f t="shared" si="38"/>
        <v>0</v>
      </c>
      <c r="CF8" s="15">
        <f t="shared" si="39"/>
        <v>96</v>
      </c>
      <c r="CG8" s="16"/>
      <c r="CH8" s="15">
        <v>19</v>
      </c>
      <c r="CI8" s="15">
        <f t="shared" si="40"/>
        <v>0</v>
      </c>
      <c r="CJ8" s="15">
        <f t="shared" si="41"/>
        <v>114</v>
      </c>
      <c r="CK8" s="16"/>
      <c r="CL8" s="15">
        <v>35</v>
      </c>
      <c r="CM8" s="15">
        <f t="shared" si="42"/>
        <v>0</v>
      </c>
      <c r="CN8" s="15">
        <f t="shared" si="43"/>
        <v>210</v>
      </c>
      <c r="CO8" s="16"/>
      <c r="CP8" s="15">
        <v>18</v>
      </c>
      <c r="CQ8" s="15">
        <f t="shared" si="44"/>
        <v>0</v>
      </c>
      <c r="CR8" s="15">
        <f t="shared" si="45"/>
        <v>108</v>
      </c>
      <c r="CS8" s="16"/>
      <c r="CT8" s="15">
        <v>28</v>
      </c>
      <c r="CU8" s="15">
        <f t="shared" si="46"/>
        <v>0</v>
      </c>
      <c r="CV8" s="15">
        <f t="shared" si="47"/>
        <v>168</v>
      </c>
      <c r="CW8" s="16"/>
      <c r="CX8" s="15">
        <v>11</v>
      </c>
      <c r="CY8" s="15">
        <f t="shared" si="48"/>
        <v>0</v>
      </c>
      <c r="CZ8" s="15">
        <f t="shared" si="49"/>
        <v>66</v>
      </c>
      <c r="DA8" s="16"/>
      <c r="DB8" s="15">
        <v>23</v>
      </c>
      <c r="DC8" s="15">
        <f t="shared" si="50"/>
        <v>0</v>
      </c>
      <c r="DD8" s="15">
        <f t="shared" si="51"/>
        <v>138</v>
      </c>
      <c r="DE8" s="16"/>
      <c r="DF8" s="15">
        <v>17</v>
      </c>
      <c r="DG8" s="15">
        <f t="shared" si="52"/>
        <v>0</v>
      </c>
      <c r="DH8" s="15">
        <f t="shared" si="53"/>
        <v>102</v>
      </c>
      <c r="DI8" s="16"/>
      <c r="DJ8" s="15"/>
      <c r="DK8" s="15">
        <f t="shared" si="54"/>
        <v>0</v>
      </c>
      <c r="DL8" s="15">
        <f t="shared" si="55"/>
        <v>0</v>
      </c>
      <c r="DM8" s="16"/>
      <c r="DN8" s="15"/>
      <c r="DO8" s="15">
        <f t="shared" si="56"/>
        <v>0</v>
      </c>
      <c r="DP8" s="15">
        <f t="shared" si="57"/>
        <v>0</v>
      </c>
      <c r="DQ8" s="16"/>
      <c r="DR8" s="15"/>
      <c r="DS8" s="15">
        <f t="shared" si="58"/>
        <v>0</v>
      </c>
      <c r="DT8" s="15">
        <f t="shared" si="59"/>
        <v>0</v>
      </c>
      <c r="DU8" s="16"/>
      <c r="DV8" s="15"/>
      <c r="DW8" s="15"/>
      <c r="DX8" s="15">
        <f t="shared" si="60"/>
        <v>0</v>
      </c>
      <c r="DZ8" s="15">
        <f t="shared" si="61"/>
        <v>35</v>
      </c>
      <c r="EA8" s="15">
        <f t="shared" si="62"/>
        <v>3</v>
      </c>
    </row>
    <row r="9" spans="1:131" s="14" customFormat="1" x14ac:dyDescent="0.2">
      <c r="A9" s="15">
        <v>4</v>
      </c>
      <c r="B9" s="32" t="s">
        <v>33</v>
      </c>
      <c r="C9" s="15">
        <v>0</v>
      </c>
      <c r="D9" s="15">
        <v>1</v>
      </c>
      <c r="E9" s="16"/>
      <c r="F9" s="15">
        <v>63</v>
      </c>
      <c r="G9" s="15">
        <f t="shared" si="0"/>
        <v>0</v>
      </c>
      <c r="H9" s="15">
        <f t="shared" si="1"/>
        <v>378</v>
      </c>
      <c r="I9" s="16"/>
      <c r="J9" s="15">
        <v>50</v>
      </c>
      <c r="K9" s="15">
        <f t="shared" si="2"/>
        <v>0</v>
      </c>
      <c r="L9" s="15">
        <f t="shared" si="3"/>
        <v>300</v>
      </c>
      <c r="M9" s="16"/>
      <c r="N9" s="15">
        <v>52</v>
      </c>
      <c r="O9" s="15">
        <f t="shared" si="4"/>
        <v>0</v>
      </c>
      <c r="P9" s="15">
        <f t="shared" si="5"/>
        <v>312</v>
      </c>
      <c r="Q9" s="16"/>
      <c r="R9" s="15">
        <v>51</v>
      </c>
      <c r="S9" s="15">
        <f t="shared" si="6"/>
        <v>0</v>
      </c>
      <c r="T9" s="15">
        <f t="shared" si="7"/>
        <v>306</v>
      </c>
      <c r="U9" s="16"/>
      <c r="V9" s="15">
        <v>50</v>
      </c>
      <c r="W9" s="15">
        <f t="shared" si="8"/>
        <v>0</v>
      </c>
      <c r="X9" s="15">
        <f t="shared" si="9"/>
        <v>300</v>
      </c>
      <c r="Y9" s="16"/>
      <c r="Z9" s="15">
        <v>46</v>
      </c>
      <c r="AA9" s="15">
        <f t="shared" si="10"/>
        <v>0</v>
      </c>
      <c r="AB9" s="15">
        <f t="shared" si="11"/>
        <v>276</v>
      </c>
      <c r="AC9" s="16"/>
      <c r="AD9" s="15">
        <v>47</v>
      </c>
      <c r="AE9" s="15">
        <f t="shared" si="12"/>
        <v>0</v>
      </c>
      <c r="AF9" s="15">
        <f t="shared" si="13"/>
        <v>282</v>
      </c>
      <c r="AG9" s="16"/>
      <c r="AH9" s="15">
        <v>48</v>
      </c>
      <c r="AI9" s="15">
        <f t="shared" si="14"/>
        <v>0</v>
      </c>
      <c r="AJ9" s="15">
        <f t="shared" si="15"/>
        <v>288</v>
      </c>
      <c r="AK9" s="16"/>
      <c r="AL9" s="15">
        <v>50</v>
      </c>
      <c r="AM9" s="15">
        <f t="shared" si="16"/>
        <v>0</v>
      </c>
      <c r="AN9" s="15">
        <f t="shared" si="17"/>
        <v>300</v>
      </c>
      <c r="AO9" s="16"/>
      <c r="AP9" s="15">
        <v>52</v>
      </c>
      <c r="AQ9" s="15">
        <f t="shared" si="18"/>
        <v>0</v>
      </c>
      <c r="AR9" s="15">
        <f t="shared" si="19"/>
        <v>312</v>
      </c>
      <c r="AS9" s="16"/>
      <c r="AT9" s="15">
        <v>53</v>
      </c>
      <c r="AU9" s="15">
        <f t="shared" si="20"/>
        <v>0</v>
      </c>
      <c r="AV9" s="15">
        <f t="shared" si="21"/>
        <v>318</v>
      </c>
      <c r="AW9" s="16"/>
      <c r="AX9" s="15">
        <v>52</v>
      </c>
      <c r="AY9" s="15">
        <f t="shared" si="22"/>
        <v>0</v>
      </c>
      <c r="AZ9" s="15">
        <f t="shared" si="23"/>
        <v>312</v>
      </c>
      <c r="BA9" s="16"/>
      <c r="BB9" s="15">
        <v>49</v>
      </c>
      <c r="BC9" s="15">
        <f t="shared" si="24"/>
        <v>0</v>
      </c>
      <c r="BD9" s="15">
        <f t="shared" si="25"/>
        <v>294</v>
      </c>
      <c r="BE9" s="16"/>
      <c r="BF9" s="15">
        <v>47</v>
      </c>
      <c r="BG9" s="15">
        <f t="shared" si="26"/>
        <v>0</v>
      </c>
      <c r="BH9" s="15">
        <f t="shared" si="27"/>
        <v>282</v>
      </c>
      <c r="BI9" s="16"/>
      <c r="BJ9" s="15">
        <v>49</v>
      </c>
      <c r="BK9" s="15">
        <f t="shared" si="28"/>
        <v>0</v>
      </c>
      <c r="BL9" s="15">
        <f t="shared" si="29"/>
        <v>294</v>
      </c>
      <c r="BM9" s="16"/>
      <c r="BN9" s="15">
        <v>53</v>
      </c>
      <c r="BO9" s="15">
        <f t="shared" si="30"/>
        <v>0</v>
      </c>
      <c r="BP9" s="15">
        <f t="shared" si="31"/>
        <v>318</v>
      </c>
      <c r="BQ9" s="16"/>
      <c r="BR9" s="15">
        <v>58</v>
      </c>
      <c r="BS9" s="15">
        <f t="shared" si="32"/>
        <v>0</v>
      </c>
      <c r="BT9" s="15">
        <f t="shared" si="33"/>
        <v>348</v>
      </c>
      <c r="BU9" s="16"/>
      <c r="BV9" s="15">
        <v>49</v>
      </c>
      <c r="BW9" s="15">
        <f t="shared" si="34"/>
        <v>0</v>
      </c>
      <c r="BX9" s="15">
        <f t="shared" si="35"/>
        <v>294</v>
      </c>
      <c r="BY9" s="16"/>
      <c r="BZ9" s="15">
        <v>53</v>
      </c>
      <c r="CA9" s="15">
        <f t="shared" si="36"/>
        <v>0</v>
      </c>
      <c r="CB9" s="15">
        <f t="shared" si="37"/>
        <v>318</v>
      </c>
      <c r="CC9" s="16"/>
      <c r="CD9" s="15">
        <v>48</v>
      </c>
      <c r="CE9" s="15">
        <f t="shared" si="38"/>
        <v>0</v>
      </c>
      <c r="CF9" s="15">
        <f t="shared" si="39"/>
        <v>288</v>
      </c>
      <c r="CG9" s="16"/>
      <c r="CH9" s="15">
        <v>52</v>
      </c>
      <c r="CI9" s="15">
        <f t="shared" si="40"/>
        <v>0</v>
      </c>
      <c r="CJ9" s="15">
        <f t="shared" si="41"/>
        <v>312</v>
      </c>
      <c r="CK9" s="16"/>
      <c r="CL9" s="15">
        <v>55</v>
      </c>
      <c r="CM9" s="15">
        <f t="shared" si="42"/>
        <v>0</v>
      </c>
      <c r="CN9" s="15">
        <f t="shared" si="43"/>
        <v>330</v>
      </c>
      <c r="CO9" s="16"/>
      <c r="CP9" s="15">
        <v>48</v>
      </c>
      <c r="CQ9" s="15">
        <f t="shared" si="44"/>
        <v>0</v>
      </c>
      <c r="CR9" s="15">
        <f t="shared" si="45"/>
        <v>288</v>
      </c>
      <c r="CS9" s="16"/>
      <c r="CT9" s="15">
        <v>49</v>
      </c>
      <c r="CU9" s="15">
        <f t="shared" si="46"/>
        <v>0</v>
      </c>
      <c r="CV9" s="15">
        <f t="shared" si="47"/>
        <v>294</v>
      </c>
      <c r="CW9" s="16"/>
      <c r="CX9" s="15">
        <v>43</v>
      </c>
      <c r="CY9" s="15">
        <f t="shared" si="48"/>
        <v>0</v>
      </c>
      <c r="CZ9" s="15">
        <f t="shared" si="49"/>
        <v>258</v>
      </c>
      <c r="DA9" s="16"/>
      <c r="DB9" s="15">
        <v>52</v>
      </c>
      <c r="DC9" s="15">
        <f t="shared" si="50"/>
        <v>0</v>
      </c>
      <c r="DD9" s="15">
        <f t="shared" si="51"/>
        <v>312</v>
      </c>
      <c r="DE9" s="16"/>
      <c r="DF9" s="15">
        <v>52</v>
      </c>
      <c r="DG9" s="15">
        <f t="shared" si="52"/>
        <v>0</v>
      </c>
      <c r="DH9" s="15">
        <f t="shared" si="53"/>
        <v>312</v>
      </c>
      <c r="DI9" s="16"/>
      <c r="DJ9" s="15"/>
      <c r="DK9" s="15">
        <f t="shared" si="54"/>
        <v>0</v>
      </c>
      <c r="DL9" s="15">
        <f t="shared" si="55"/>
        <v>0</v>
      </c>
      <c r="DM9" s="16"/>
      <c r="DN9" s="15"/>
      <c r="DO9" s="15">
        <f t="shared" si="56"/>
        <v>0</v>
      </c>
      <c r="DP9" s="15">
        <f t="shared" si="57"/>
        <v>0</v>
      </c>
      <c r="DQ9" s="16"/>
      <c r="DR9" s="15"/>
      <c r="DS9" s="15">
        <f t="shared" si="58"/>
        <v>0</v>
      </c>
      <c r="DT9" s="15">
        <f t="shared" si="59"/>
        <v>0</v>
      </c>
      <c r="DU9" s="16"/>
      <c r="DV9" s="15"/>
      <c r="DW9" s="15"/>
      <c r="DX9" s="15">
        <f t="shared" si="60"/>
        <v>0</v>
      </c>
      <c r="DZ9" s="15">
        <f t="shared" si="61"/>
        <v>63</v>
      </c>
      <c r="EA9" s="15">
        <f t="shared" si="62"/>
        <v>46</v>
      </c>
    </row>
    <row r="10" spans="1:131" s="14" customFormat="1" x14ac:dyDescent="0.2">
      <c r="A10" s="15">
        <v>13</v>
      </c>
      <c r="B10" s="14" t="s">
        <v>34</v>
      </c>
      <c r="C10" s="15">
        <v>0</v>
      </c>
      <c r="D10" s="15">
        <v>1</v>
      </c>
      <c r="E10" s="16"/>
      <c r="F10" s="15">
        <v>11</v>
      </c>
      <c r="G10" s="15">
        <f t="shared" si="0"/>
        <v>0</v>
      </c>
      <c r="H10" s="15">
        <f t="shared" si="1"/>
        <v>66</v>
      </c>
      <c r="I10" s="16"/>
      <c r="J10" s="15">
        <v>5</v>
      </c>
      <c r="K10" s="15">
        <f t="shared" si="2"/>
        <v>0</v>
      </c>
      <c r="L10" s="15">
        <f t="shared" si="3"/>
        <v>30</v>
      </c>
      <c r="M10" s="16"/>
      <c r="N10" s="15">
        <v>16</v>
      </c>
      <c r="O10" s="15">
        <f t="shared" si="4"/>
        <v>0</v>
      </c>
      <c r="P10" s="15">
        <f t="shared" si="5"/>
        <v>96</v>
      </c>
      <c r="Q10" s="16"/>
      <c r="R10" s="15">
        <v>12</v>
      </c>
      <c r="S10" s="15">
        <f t="shared" si="6"/>
        <v>0</v>
      </c>
      <c r="T10" s="15">
        <f t="shared" si="7"/>
        <v>72</v>
      </c>
      <c r="U10" s="16"/>
      <c r="V10" s="15">
        <v>16</v>
      </c>
      <c r="W10" s="15">
        <f t="shared" si="8"/>
        <v>0</v>
      </c>
      <c r="X10" s="15">
        <f t="shared" si="9"/>
        <v>96</v>
      </c>
      <c r="Y10" s="16"/>
      <c r="Z10" s="15">
        <v>7</v>
      </c>
      <c r="AA10" s="15">
        <f t="shared" si="10"/>
        <v>0</v>
      </c>
      <c r="AB10" s="15">
        <f t="shared" si="11"/>
        <v>42</v>
      </c>
      <c r="AC10" s="16"/>
      <c r="AD10" s="15">
        <v>10</v>
      </c>
      <c r="AE10" s="15">
        <f t="shared" si="12"/>
        <v>0</v>
      </c>
      <c r="AF10" s="15">
        <f t="shared" si="13"/>
        <v>60</v>
      </c>
      <c r="AG10" s="16"/>
      <c r="AH10" s="15">
        <v>18</v>
      </c>
      <c r="AI10" s="15">
        <f t="shared" si="14"/>
        <v>0</v>
      </c>
      <c r="AJ10" s="15">
        <f t="shared" si="15"/>
        <v>108</v>
      </c>
      <c r="AK10" s="16"/>
      <c r="AL10" s="15">
        <v>15</v>
      </c>
      <c r="AM10" s="15">
        <f t="shared" si="16"/>
        <v>0</v>
      </c>
      <c r="AN10" s="15">
        <f t="shared" si="17"/>
        <v>90</v>
      </c>
      <c r="AO10" s="16"/>
      <c r="AP10" s="15">
        <v>13</v>
      </c>
      <c r="AQ10" s="15">
        <f t="shared" si="18"/>
        <v>0</v>
      </c>
      <c r="AR10" s="15">
        <f t="shared" si="19"/>
        <v>78</v>
      </c>
      <c r="AS10" s="16"/>
      <c r="AT10" s="15">
        <v>1</v>
      </c>
      <c r="AU10" s="15">
        <f t="shared" si="20"/>
        <v>0</v>
      </c>
      <c r="AV10" s="15">
        <f t="shared" si="21"/>
        <v>6</v>
      </c>
      <c r="AW10" s="16"/>
      <c r="AX10" s="15">
        <v>15</v>
      </c>
      <c r="AY10" s="15">
        <f t="shared" si="22"/>
        <v>0</v>
      </c>
      <c r="AZ10" s="15">
        <f t="shared" si="23"/>
        <v>90</v>
      </c>
      <c r="BA10" s="16"/>
      <c r="BB10" s="15">
        <v>12</v>
      </c>
      <c r="BC10" s="15">
        <f t="shared" si="24"/>
        <v>0</v>
      </c>
      <c r="BD10" s="15">
        <f t="shared" si="25"/>
        <v>72</v>
      </c>
      <c r="BE10" s="16"/>
      <c r="BF10" s="15">
        <v>14</v>
      </c>
      <c r="BG10" s="15">
        <f t="shared" si="26"/>
        <v>0</v>
      </c>
      <c r="BH10" s="15">
        <f t="shared" si="27"/>
        <v>84</v>
      </c>
      <c r="BI10" s="16"/>
      <c r="BJ10" s="15">
        <v>13</v>
      </c>
      <c r="BK10" s="15">
        <f t="shared" si="28"/>
        <v>0</v>
      </c>
      <c r="BL10" s="15">
        <f t="shared" si="29"/>
        <v>78</v>
      </c>
      <c r="BM10" s="16"/>
      <c r="BN10" s="15">
        <v>13</v>
      </c>
      <c r="BO10" s="15">
        <f t="shared" si="30"/>
        <v>0</v>
      </c>
      <c r="BP10" s="15">
        <f t="shared" si="31"/>
        <v>78</v>
      </c>
      <c r="BQ10" s="16"/>
      <c r="BR10" s="15">
        <v>9</v>
      </c>
      <c r="BS10" s="15">
        <f t="shared" si="32"/>
        <v>0</v>
      </c>
      <c r="BT10" s="15">
        <f t="shared" si="33"/>
        <v>54</v>
      </c>
      <c r="BU10" s="16"/>
      <c r="BV10" s="15">
        <v>4</v>
      </c>
      <c r="BW10" s="15">
        <f t="shared" si="34"/>
        <v>0</v>
      </c>
      <c r="BX10" s="15">
        <f t="shared" si="35"/>
        <v>24</v>
      </c>
      <c r="BY10" s="16"/>
      <c r="BZ10" s="15">
        <v>29</v>
      </c>
      <c r="CA10" s="15">
        <f t="shared" si="36"/>
        <v>0</v>
      </c>
      <c r="CB10" s="15">
        <f t="shared" si="37"/>
        <v>174</v>
      </c>
      <c r="CC10" s="16"/>
      <c r="CD10" s="15">
        <v>13</v>
      </c>
      <c r="CE10" s="15">
        <f t="shared" si="38"/>
        <v>0</v>
      </c>
      <c r="CF10" s="15">
        <f t="shared" si="39"/>
        <v>78</v>
      </c>
      <c r="CG10" s="16"/>
      <c r="CH10" s="15">
        <v>14</v>
      </c>
      <c r="CI10" s="15">
        <f t="shared" si="40"/>
        <v>0</v>
      </c>
      <c r="CJ10" s="15">
        <f t="shared" si="41"/>
        <v>84</v>
      </c>
      <c r="CK10" s="16"/>
      <c r="CL10" s="15">
        <v>5</v>
      </c>
      <c r="CM10" s="15">
        <f t="shared" si="42"/>
        <v>0</v>
      </c>
      <c r="CN10" s="15">
        <f t="shared" si="43"/>
        <v>30</v>
      </c>
      <c r="CO10" s="16"/>
      <c r="CP10" s="15">
        <v>16</v>
      </c>
      <c r="CQ10" s="15">
        <f t="shared" si="44"/>
        <v>0</v>
      </c>
      <c r="CR10" s="15">
        <f t="shared" si="45"/>
        <v>96</v>
      </c>
      <c r="CS10" s="16"/>
      <c r="CT10" s="15">
        <v>15</v>
      </c>
      <c r="CU10" s="15">
        <f t="shared" si="46"/>
        <v>0</v>
      </c>
      <c r="CV10" s="15">
        <f t="shared" si="47"/>
        <v>90</v>
      </c>
      <c r="CW10" s="16"/>
      <c r="CX10" s="15">
        <v>17</v>
      </c>
      <c r="CY10" s="15">
        <f t="shared" si="48"/>
        <v>0</v>
      </c>
      <c r="CZ10" s="15">
        <f t="shared" si="49"/>
        <v>102</v>
      </c>
      <c r="DA10" s="16"/>
      <c r="DB10" s="15">
        <v>10</v>
      </c>
      <c r="DC10" s="15">
        <f t="shared" si="50"/>
        <v>0</v>
      </c>
      <c r="DD10" s="15">
        <f t="shared" si="51"/>
        <v>60</v>
      </c>
      <c r="DE10" s="16"/>
      <c r="DF10" s="15">
        <v>13</v>
      </c>
      <c r="DG10" s="15">
        <f t="shared" si="52"/>
        <v>0</v>
      </c>
      <c r="DH10" s="15">
        <f t="shared" si="53"/>
        <v>78</v>
      </c>
      <c r="DI10" s="16"/>
      <c r="DJ10" s="15"/>
      <c r="DK10" s="15">
        <f t="shared" si="54"/>
        <v>0</v>
      </c>
      <c r="DL10" s="15">
        <f t="shared" si="55"/>
        <v>0</v>
      </c>
      <c r="DM10" s="16"/>
      <c r="DN10" s="15"/>
      <c r="DO10" s="15">
        <f t="shared" si="56"/>
        <v>0</v>
      </c>
      <c r="DP10" s="15">
        <f t="shared" si="57"/>
        <v>0</v>
      </c>
      <c r="DQ10" s="16"/>
      <c r="DR10" s="15"/>
      <c r="DS10" s="15">
        <f t="shared" si="58"/>
        <v>0</v>
      </c>
      <c r="DT10" s="15">
        <f t="shared" si="59"/>
        <v>0</v>
      </c>
      <c r="DU10" s="16"/>
      <c r="DV10" s="15"/>
      <c r="DW10" s="15"/>
      <c r="DX10" s="15">
        <f t="shared" si="60"/>
        <v>0</v>
      </c>
      <c r="DZ10" s="15">
        <f t="shared" si="61"/>
        <v>29</v>
      </c>
      <c r="EA10" s="15">
        <f t="shared" si="62"/>
        <v>1</v>
      </c>
    </row>
    <row r="11" spans="1:131" s="14" customFormat="1" x14ac:dyDescent="0.2">
      <c r="A11" s="15">
        <v>6</v>
      </c>
      <c r="B11" s="14" t="s">
        <v>35</v>
      </c>
      <c r="C11" s="15">
        <v>0</v>
      </c>
      <c r="D11" s="15">
        <v>1</v>
      </c>
      <c r="E11" s="16"/>
      <c r="F11" s="15">
        <v>43</v>
      </c>
      <c r="G11" s="15">
        <f t="shared" si="0"/>
        <v>0</v>
      </c>
      <c r="H11" s="15">
        <f t="shared" si="1"/>
        <v>258</v>
      </c>
      <c r="I11" s="16"/>
      <c r="J11" s="15">
        <v>42</v>
      </c>
      <c r="K11" s="15">
        <f t="shared" si="2"/>
        <v>0</v>
      </c>
      <c r="L11" s="15">
        <f t="shared" si="3"/>
        <v>252</v>
      </c>
      <c r="M11" s="16"/>
      <c r="N11" s="15">
        <v>32</v>
      </c>
      <c r="O11" s="15">
        <f t="shared" si="4"/>
        <v>0</v>
      </c>
      <c r="P11" s="15">
        <f t="shared" si="5"/>
        <v>192</v>
      </c>
      <c r="Q11" s="16"/>
      <c r="R11" s="15">
        <v>39</v>
      </c>
      <c r="S11" s="15">
        <f t="shared" si="6"/>
        <v>0</v>
      </c>
      <c r="T11" s="15">
        <f t="shared" si="7"/>
        <v>234</v>
      </c>
      <c r="U11" s="16"/>
      <c r="V11" s="15">
        <v>41</v>
      </c>
      <c r="W11" s="15">
        <f t="shared" si="8"/>
        <v>0</v>
      </c>
      <c r="X11" s="15">
        <f t="shared" si="9"/>
        <v>246</v>
      </c>
      <c r="Y11" s="16"/>
      <c r="Z11" s="15">
        <v>5</v>
      </c>
      <c r="AA11" s="15">
        <f t="shared" si="10"/>
        <v>0</v>
      </c>
      <c r="AB11" s="15">
        <f t="shared" si="11"/>
        <v>30</v>
      </c>
      <c r="AC11" s="16"/>
      <c r="AD11" s="15">
        <v>39</v>
      </c>
      <c r="AE11" s="15">
        <f t="shared" si="12"/>
        <v>0</v>
      </c>
      <c r="AF11" s="15">
        <f t="shared" si="13"/>
        <v>234</v>
      </c>
      <c r="AG11" s="16"/>
      <c r="AH11" s="15">
        <v>40</v>
      </c>
      <c r="AI11" s="15">
        <f t="shared" si="14"/>
        <v>0</v>
      </c>
      <c r="AJ11" s="15">
        <f t="shared" si="15"/>
        <v>240</v>
      </c>
      <c r="AK11" s="16"/>
      <c r="AL11" s="15">
        <v>49</v>
      </c>
      <c r="AM11" s="15">
        <f t="shared" si="16"/>
        <v>0</v>
      </c>
      <c r="AN11" s="15">
        <f t="shared" si="17"/>
        <v>294</v>
      </c>
      <c r="AO11" s="16"/>
      <c r="AP11" s="15">
        <v>44</v>
      </c>
      <c r="AQ11" s="15">
        <f t="shared" si="18"/>
        <v>0</v>
      </c>
      <c r="AR11" s="15">
        <f t="shared" si="19"/>
        <v>264</v>
      </c>
      <c r="AS11" s="16"/>
      <c r="AT11" s="15">
        <v>44</v>
      </c>
      <c r="AU11" s="15">
        <f t="shared" si="20"/>
        <v>0</v>
      </c>
      <c r="AV11" s="15">
        <f t="shared" si="21"/>
        <v>264</v>
      </c>
      <c r="AW11" s="16"/>
      <c r="AX11" s="15">
        <v>42</v>
      </c>
      <c r="AY11" s="15">
        <f t="shared" si="22"/>
        <v>0</v>
      </c>
      <c r="AZ11" s="15">
        <f t="shared" si="23"/>
        <v>252</v>
      </c>
      <c r="BA11" s="16"/>
      <c r="BB11" s="15">
        <v>39</v>
      </c>
      <c r="BC11" s="15">
        <f t="shared" si="24"/>
        <v>0</v>
      </c>
      <c r="BD11" s="15">
        <f t="shared" si="25"/>
        <v>234</v>
      </c>
      <c r="BE11" s="16"/>
      <c r="BF11" s="15">
        <v>42</v>
      </c>
      <c r="BG11" s="15">
        <f t="shared" si="26"/>
        <v>0</v>
      </c>
      <c r="BH11" s="15">
        <f t="shared" si="27"/>
        <v>252</v>
      </c>
      <c r="BI11" s="16"/>
      <c r="BJ11" s="15">
        <v>36</v>
      </c>
      <c r="BK11" s="15">
        <f t="shared" si="28"/>
        <v>0</v>
      </c>
      <c r="BL11" s="15">
        <f t="shared" si="29"/>
        <v>216</v>
      </c>
      <c r="BM11" s="16"/>
      <c r="BN11" s="15">
        <v>41</v>
      </c>
      <c r="BO11" s="15">
        <f t="shared" si="30"/>
        <v>0</v>
      </c>
      <c r="BP11" s="15">
        <f t="shared" si="31"/>
        <v>246</v>
      </c>
      <c r="BQ11" s="16"/>
      <c r="BR11" s="15">
        <v>42</v>
      </c>
      <c r="BS11" s="15">
        <f t="shared" si="32"/>
        <v>0</v>
      </c>
      <c r="BT11" s="15">
        <f t="shared" si="33"/>
        <v>252</v>
      </c>
      <c r="BU11" s="16"/>
      <c r="BV11" s="15">
        <v>5</v>
      </c>
      <c r="BW11" s="15">
        <f t="shared" si="34"/>
        <v>0</v>
      </c>
      <c r="BX11" s="15">
        <f t="shared" si="35"/>
        <v>30</v>
      </c>
      <c r="BY11" s="16"/>
      <c r="BZ11" s="15">
        <v>43</v>
      </c>
      <c r="CA11" s="15">
        <f t="shared" si="36"/>
        <v>0</v>
      </c>
      <c r="CB11" s="15">
        <f t="shared" si="37"/>
        <v>258</v>
      </c>
      <c r="CC11" s="16"/>
      <c r="CD11" s="15">
        <v>29</v>
      </c>
      <c r="CE11" s="15">
        <f t="shared" si="38"/>
        <v>0</v>
      </c>
      <c r="CF11" s="15">
        <f t="shared" si="39"/>
        <v>174</v>
      </c>
      <c r="CG11" s="16"/>
      <c r="CH11" s="15">
        <v>40</v>
      </c>
      <c r="CI11" s="15">
        <f t="shared" si="40"/>
        <v>0</v>
      </c>
      <c r="CJ11" s="15">
        <f t="shared" si="41"/>
        <v>240</v>
      </c>
      <c r="CK11" s="16"/>
      <c r="CL11" s="15">
        <v>26</v>
      </c>
      <c r="CM11" s="15">
        <f t="shared" si="42"/>
        <v>0</v>
      </c>
      <c r="CN11" s="15">
        <f t="shared" si="43"/>
        <v>156</v>
      </c>
      <c r="CO11" s="16"/>
      <c r="CP11" s="15">
        <v>45</v>
      </c>
      <c r="CQ11" s="15">
        <f t="shared" si="44"/>
        <v>0</v>
      </c>
      <c r="CR11" s="15">
        <f t="shared" si="45"/>
        <v>270</v>
      </c>
      <c r="CS11" s="16"/>
      <c r="CT11" s="15">
        <v>16</v>
      </c>
      <c r="CU11" s="15">
        <f t="shared" si="46"/>
        <v>0</v>
      </c>
      <c r="CV11" s="15">
        <f t="shared" si="47"/>
        <v>96</v>
      </c>
      <c r="CW11" s="16"/>
      <c r="CX11" s="15">
        <v>48</v>
      </c>
      <c r="CY11" s="15">
        <f t="shared" si="48"/>
        <v>0</v>
      </c>
      <c r="CZ11" s="15">
        <f t="shared" si="49"/>
        <v>288</v>
      </c>
      <c r="DA11" s="16"/>
      <c r="DB11" s="15">
        <v>33</v>
      </c>
      <c r="DC11" s="15">
        <f t="shared" si="50"/>
        <v>0</v>
      </c>
      <c r="DD11" s="15">
        <f t="shared" si="51"/>
        <v>198</v>
      </c>
      <c r="DE11" s="16"/>
      <c r="DF11" s="15">
        <v>44</v>
      </c>
      <c r="DG11" s="15">
        <f t="shared" si="52"/>
        <v>0</v>
      </c>
      <c r="DH11" s="15">
        <f t="shared" si="53"/>
        <v>264</v>
      </c>
      <c r="DI11" s="16"/>
      <c r="DJ11" s="15"/>
      <c r="DK11" s="15">
        <f t="shared" si="54"/>
        <v>0</v>
      </c>
      <c r="DL11" s="15">
        <f t="shared" si="55"/>
        <v>0</v>
      </c>
      <c r="DM11" s="16"/>
      <c r="DN11" s="15"/>
      <c r="DO11" s="15">
        <f t="shared" si="56"/>
        <v>0</v>
      </c>
      <c r="DP11" s="15">
        <f t="shared" si="57"/>
        <v>0</v>
      </c>
      <c r="DQ11" s="16"/>
      <c r="DR11" s="15"/>
      <c r="DS11" s="15">
        <f t="shared" si="58"/>
        <v>0</v>
      </c>
      <c r="DT11" s="15">
        <f t="shared" si="59"/>
        <v>0</v>
      </c>
      <c r="DU11" s="16"/>
      <c r="DV11" s="15"/>
      <c r="DW11" s="15"/>
      <c r="DX11" s="15">
        <f t="shared" si="60"/>
        <v>0</v>
      </c>
      <c r="DZ11" s="15">
        <f t="shared" si="61"/>
        <v>49</v>
      </c>
      <c r="EA11" s="15">
        <f t="shared" si="62"/>
        <v>5</v>
      </c>
    </row>
    <row r="12" spans="1:131" s="14" customFormat="1" x14ac:dyDescent="0.2">
      <c r="A12" s="15">
        <v>11</v>
      </c>
      <c r="B12" s="32" t="s">
        <v>36</v>
      </c>
      <c r="C12" s="15">
        <v>0</v>
      </c>
      <c r="D12" s="15">
        <v>1</v>
      </c>
      <c r="E12" s="16"/>
      <c r="F12" s="15">
        <v>21</v>
      </c>
      <c r="G12" s="15">
        <f t="shared" si="0"/>
        <v>0</v>
      </c>
      <c r="H12" s="15">
        <f t="shared" si="1"/>
        <v>126</v>
      </c>
      <c r="I12" s="16"/>
      <c r="J12" s="15">
        <v>23</v>
      </c>
      <c r="K12" s="15">
        <f t="shared" si="2"/>
        <v>0</v>
      </c>
      <c r="L12" s="15">
        <f t="shared" si="3"/>
        <v>138</v>
      </c>
      <c r="M12" s="16"/>
      <c r="N12" s="15">
        <v>27</v>
      </c>
      <c r="O12" s="15">
        <f t="shared" si="4"/>
        <v>0</v>
      </c>
      <c r="P12" s="15">
        <f t="shared" si="5"/>
        <v>162</v>
      </c>
      <c r="Q12" s="16"/>
      <c r="R12" s="15">
        <v>19</v>
      </c>
      <c r="S12" s="15">
        <f t="shared" si="6"/>
        <v>0</v>
      </c>
      <c r="T12" s="15">
        <f t="shared" si="7"/>
        <v>114</v>
      </c>
      <c r="U12" s="16"/>
      <c r="V12" s="15">
        <v>42</v>
      </c>
      <c r="W12" s="15">
        <f t="shared" si="8"/>
        <v>0</v>
      </c>
      <c r="X12" s="15">
        <f t="shared" si="9"/>
        <v>252</v>
      </c>
      <c r="Y12" s="16"/>
      <c r="Z12" s="15">
        <v>28</v>
      </c>
      <c r="AA12" s="15">
        <f t="shared" si="10"/>
        <v>0</v>
      </c>
      <c r="AB12" s="15">
        <f t="shared" si="11"/>
        <v>168</v>
      </c>
      <c r="AC12" s="16"/>
      <c r="AD12" s="15">
        <v>25</v>
      </c>
      <c r="AE12" s="15">
        <f t="shared" si="12"/>
        <v>0</v>
      </c>
      <c r="AF12" s="15">
        <f t="shared" si="13"/>
        <v>150</v>
      </c>
      <c r="AG12" s="16"/>
      <c r="AH12" s="15">
        <v>28</v>
      </c>
      <c r="AI12" s="15">
        <f t="shared" si="14"/>
        <v>0</v>
      </c>
      <c r="AJ12" s="15">
        <f t="shared" si="15"/>
        <v>168</v>
      </c>
      <c r="AK12" s="16"/>
      <c r="AL12" s="15">
        <v>16</v>
      </c>
      <c r="AM12" s="15">
        <f t="shared" si="16"/>
        <v>0</v>
      </c>
      <c r="AN12" s="15">
        <f t="shared" si="17"/>
        <v>96</v>
      </c>
      <c r="AO12" s="16"/>
      <c r="AP12" s="15">
        <v>21</v>
      </c>
      <c r="AQ12" s="15">
        <f t="shared" si="18"/>
        <v>0</v>
      </c>
      <c r="AR12" s="15">
        <f t="shared" si="19"/>
        <v>126</v>
      </c>
      <c r="AS12" s="16"/>
      <c r="AT12" s="15">
        <v>26</v>
      </c>
      <c r="AU12" s="15">
        <f t="shared" si="20"/>
        <v>0</v>
      </c>
      <c r="AV12" s="15">
        <f t="shared" si="21"/>
        <v>156</v>
      </c>
      <c r="AW12" s="16"/>
      <c r="AX12" s="15">
        <v>25</v>
      </c>
      <c r="AY12" s="15">
        <f t="shared" si="22"/>
        <v>0</v>
      </c>
      <c r="AZ12" s="15">
        <f t="shared" si="23"/>
        <v>150</v>
      </c>
      <c r="BA12" s="16"/>
      <c r="BB12" s="15">
        <v>23</v>
      </c>
      <c r="BC12" s="15">
        <f t="shared" si="24"/>
        <v>0</v>
      </c>
      <c r="BD12" s="15">
        <f t="shared" si="25"/>
        <v>138</v>
      </c>
      <c r="BE12" s="16"/>
      <c r="BF12" s="15">
        <v>24</v>
      </c>
      <c r="BG12" s="15">
        <f t="shared" si="26"/>
        <v>0</v>
      </c>
      <c r="BH12" s="15">
        <f t="shared" si="27"/>
        <v>144</v>
      </c>
      <c r="BI12" s="16"/>
      <c r="BJ12" s="15">
        <v>22</v>
      </c>
      <c r="BK12" s="15">
        <f t="shared" si="28"/>
        <v>0</v>
      </c>
      <c r="BL12" s="15">
        <f t="shared" si="29"/>
        <v>132</v>
      </c>
      <c r="BM12" s="16"/>
      <c r="BN12" s="15">
        <v>29</v>
      </c>
      <c r="BO12" s="15">
        <f t="shared" si="30"/>
        <v>0</v>
      </c>
      <c r="BP12" s="15">
        <f t="shared" si="31"/>
        <v>174</v>
      </c>
      <c r="BQ12" s="16"/>
      <c r="BR12" s="15">
        <v>13</v>
      </c>
      <c r="BS12" s="15">
        <f t="shared" si="32"/>
        <v>0</v>
      </c>
      <c r="BT12" s="15">
        <f t="shared" si="33"/>
        <v>78</v>
      </c>
      <c r="BU12" s="16"/>
      <c r="BV12" s="15">
        <v>48</v>
      </c>
      <c r="BW12" s="15">
        <f t="shared" si="34"/>
        <v>0</v>
      </c>
      <c r="BX12" s="15">
        <f t="shared" si="35"/>
        <v>288</v>
      </c>
      <c r="BY12" s="16"/>
      <c r="BZ12" s="15">
        <v>16</v>
      </c>
      <c r="CA12" s="15">
        <f t="shared" si="36"/>
        <v>0</v>
      </c>
      <c r="CB12" s="15">
        <f t="shared" si="37"/>
        <v>96</v>
      </c>
      <c r="CC12" s="16"/>
      <c r="CD12" s="15">
        <v>24</v>
      </c>
      <c r="CE12" s="15">
        <f t="shared" si="38"/>
        <v>0</v>
      </c>
      <c r="CF12" s="15">
        <f t="shared" si="39"/>
        <v>144</v>
      </c>
      <c r="CG12" s="16"/>
      <c r="CH12" s="15">
        <v>23</v>
      </c>
      <c r="CI12" s="15">
        <f t="shared" si="40"/>
        <v>0</v>
      </c>
      <c r="CJ12" s="15">
        <f t="shared" si="41"/>
        <v>138</v>
      </c>
      <c r="CK12" s="16"/>
      <c r="CL12" s="15">
        <v>39</v>
      </c>
      <c r="CM12" s="15">
        <f t="shared" si="42"/>
        <v>0</v>
      </c>
      <c r="CN12" s="15">
        <f t="shared" si="43"/>
        <v>234</v>
      </c>
      <c r="CO12" s="16"/>
      <c r="CP12" s="15">
        <v>24</v>
      </c>
      <c r="CQ12" s="15">
        <f t="shared" si="44"/>
        <v>0</v>
      </c>
      <c r="CR12" s="15">
        <f t="shared" si="45"/>
        <v>144</v>
      </c>
      <c r="CS12" s="16"/>
      <c r="CT12" s="15">
        <v>48</v>
      </c>
      <c r="CU12" s="15">
        <f t="shared" si="46"/>
        <v>0</v>
      </c>
      <c r="CV12" s="15">
        <f t="shared" si="47"/>
        <v>288</v>
      </c>
      <c r="CW12" s="16"/>
      <c r="CX12" s="15">
        <v>30</v>
      </c>
      <c r="CY12" s="15">
        <f t="shared" si="48"/>
        <v>0</v>
      </c>
      <c r="CZ12" s="15">
        <f t="shared" si="49"/>
        <v>180</v>
      </c>
      <c r="DA12" s="16"/>
      <c r="DB12" s="15">
        <v>20</v>
      </c>
      <c r="DC12" s="15">
        <f t="shared" si="50"/>
        <v>0</v>
      </c>
      <c r="DD12" s="15">
        <f t="shared" si="51"/>
        <v>120</v>
      </c>
      <c r="DE12" s="16"/>
      <c r="DF12" s="15">
        <v>21</v>
      </c>
      <c r="DG12" s="15">
        <f t="shared" si="52"/>
        <v>0</v>
      </c>
      <c r="DH12" s="15">
        <f t="shared" si="53"/>
        <v>126</v>
      </c>
      <c r="DI12" s="16"/>
      <c r="DJ12" s="15"/>
      <c r="DK12" s="15">
        <f t="shared" si="54"/>
        <v>0</v>
      </c>
      <c r="DL12" s="15">
        <f t="shared" si="55"/>
        <v>0</v>
      </c>
      <c r="DM12" s="16"/>
      <c r="DN12" s="15"/>
      <c r="DO12" s="15">
        <f t="shared" si="56"/>
        <v>0</v>
      </c>
      <c r="DP12" s="15">
        <f t="shared" si="57"/>
        <v>0</v>
      </c>
      <c r="DQ12" s="16"/>
      <c r="DR12" s="15"/>
      <c r="DS12" s="15">
        <f t="shared" si="58"/>
        <v>0</v>
      </c>
      <c r="DT12" s="15">
        <f t="shared" si="59"/>
        <v>0</v>
      </c>
      <c r="DU12" s="16"/>
      <c r="DV12" s="15"/>
      <c r="DW12" s="15"/>
      <c r="DX12" s="15">
        <f t="shared" si="60"/>
        <v>0</v>
      </c>
      <c r="DZ12" s="15">
        <f t="shared" si="61"/>
        <v>48</v>
      </c>
      <c r="EA12" s="15">
        <f t="shared" si="62"/>
        <v>13</v>
      </c>
    </row>
    <row r="13" spans="1:131" s="14" customFormat="1" x14ac:dyDescent="0.2">
      <c r="A13" s="15">
        <v>3</v>
      </c>
      <c r="B13" s="14" t="s">
        <v>37</v>
      </c>
      <c r="C13" s="15">
        <v>0</v>
      </c>
      <c r="D13" s="15">
        <v>1</v>
      </c>
      <c r="E13" s="16"/>
      <c r="F13" s="15">
        <v>57</v>
      </c>
      <c r="G13" s="15">
        <f t="shared" si="0"/>
        <v>0</v>
      </c>
      <c r="H13" s="15">
        <f t="shared" si="1"/>
        <v>342</v>
      </c>
      <c r="I13" s="16"/>
      <c r="J13" s="15">
        <v>55</v>
      </c>
      <c r="K13" s="15">
        <f t="shared" si="2"/>
        <v>0</v>
      </c>
      <c r="L13" s="15">
        <f t="shared" si="3"/>
        <v>330</v>
      </c>
      <c r="M13" s="16"/>
      <c r="N13" s="15">
        <v>55</v>
      </c>
      <c r="O13" s="15">
        <f t="shared" si="4"/>
        <v>0</v>
      </c>
      <c r="P13" s="15">
        <f t="shared" si="5"/>
        <v>330</v>
      </c>
      <c r="Q13" s="16"/>
      <c r="R13" s="15">
        <v>56</v>
      </c>
      <c r="S13" s="15">
        <f t="shared" si="6"/>
        <v>0</v>
      </c>
      <c r="T13" s="15">
        <f t="shared" si="7"/>
        <v>336</v>
      </c>
      <c r="U13" s="16"/>
      <c r="V13" s="15">
        <v>54</v>
      </c>
      <c r="W13" s="15">
        <f t="shared" si="8"/>
        <v>0</v>
      </c>
      <c r="X13" s="15">
        <f t="shared" si="9"/>
        <v>324</v>
      </c>
      <c r="Y13" s="16"/>
      <c r="Z13" s="15">
        <v>33</v>
      </c>
      <c r="AA13" s="15">
        <f t="shared" si="10"/>
        <v>0</v>
      </c>
      <c r="AB13" s="15">
        <f t="shared" si="11"/>
        <v>198</v>
      </c>
      <c r="AC13" s="16"/>
      <c r="AD13" s="15">
        <v>48</v>
      </c>
      <c r="AE13" s="15">
        <f t="shared" si="12"/>
        <v>0</v>
      </c>
      <c r="AF13" s="15">
        <f t="shared" si="13"/>
        <v>288</v>
      </c>
      <c r="AG13" s="16"/>
      <c r="AH13" s="15">
        <v>54</v>
      </c>
      <c r="AI13" s="15">
        <f t="shared" si="14"/>
        <v>0</v>
      </c>
      <c r="AJ13" s="15">
        <f t="shared" si="15"/>
        <v>324</v>
      </c>
      <c r="AK13" s="16"/>
      <c r="AL13" s="15">
        <v>56</v>
      </c>
      <c r="AM13" s="15">
        <f t="shared" si="16"/>
        <v>0</v>
      </c>
      <c r="AN13" s="15">
        <f t="shared" si="17"/>
        <v>336</v>
      </c>
      <c r="AO13" s="16"/>
      <c r="AP13" s="15">
        <v>55</v>
      </c>
      <c r="AQ13" s="15">
        <f t="shared" si="18"/>
        <v>0</v>
      </c>
      <c r="AR13" s="15">
        <f t="shared" si="19"/>
        <v>330</v>
      </c>
      <c r="AS13" s="16"/>
      <c r="AT13" s="15">
        <v>54</v>
      </c>
      <c r="AU13" s="15">
        <f t="shared" si="20"/>
        <v>0</v>
      </c>
      <c r="AV13" s="15">
        <f t="shared" si="21"/>
        <v>324</v>
      </c>
      <c r="AW13" s="16"/>
      <c r="AX13" s="15">
        <v>53</v>
      </c>
      <c r="AY13" s="15">
        <f t="shared" si="22"/>
        <v>0</v>
      </c>
      <c r="AZ13" s="15">
        <f t="shared" si="23"/>
        <v>318</v>
      </c>
      <c r="BA13" s="16"/>
      <c r="BB13" s="15">
        <v>61</v>
      </c>
      <c r="BC13" s="15">
        <f t="shared" si="24"/>
        <v>0</v>
      </c>
      <c r="BD13" s="15">
        <f t="shared" si="25"/>
        <v>366</v>
      </c>
      <c r="BE13" s="16"/>
      <c r="BF13" s="15">
        <v>57</v>
      </c>
      <c r="BG13" s="15">
        <f t="shared" si="26"/>
        <v>0</v>
      </c>
      <c r="BH13" s="15">
        <f t="shared" si="27"/>
        <v>342</v>
      </c>
      <c r="BI13" s="16"/>
      <c r="BJ13" s="15">
        <v>60</v>
      </c>
      <c r="BK13" s="15">
        <f t="shared" si="28"/>
        <v>0</v>
      </c>
      <c r="BL13" s="15">
        <f t="shared" si="29"/>
        <v>360</v>
      </c>
      <c r="BM13" s="16"/>
      <c r="BN13" s="15">
        <v>56</v>
      </c>
      <c r="BO13" s="15">
        <f t="shared" si="30"/>
        <v>0</v>
      </c>
      <c r="BP13" s="15">
        <f t="shared" si="31"/>
        <v>336</v>
      </c>
      <c r="BQ13" s="16"/>
      <c r="BR13" s="15">
        <v>40</v>
      </c>
      <c r="BS13" s="15">
        <f t="shared" si="32"/>
        <v>0</v>
      </c>
      <c r="BT13" s="15">
        <f t="shared" si="33"/>
        <v>240</v>
      </c>
      <c r="BU13" s="16"/>
      <c r="BV13" s="15">
        <v>63</v>
      </c>
      <c r="BW13" s="15">
        <f t="shared" si="34"/>
        <v>0</v>
      </c>
      <c r="BX13" s="15">
        <f t="shared" si="35"/>
        <v>378</v>
      </c>
      <c r="BY13" s="16"/>
      <c r="BZ13" s="15">
        <v>55</v>
      </c>
      <c r="CA13" s="15">
        <f t="shared" si="36"/>
        <v>0</v>
      </c>
      <c r="CB13" s="15">
        <f t="shared" si="37"/>
        <v>330</v>
      </c>
      <c r="CC13" s="16"/>
      <c r="CD13" s="15">
        <v>57</v>
      </c>
      <c r="CE13" s="15">
        <f t="shared" si="38"/>
        <v>0</v>
      </c>
      <c r="CF13" s="15">
        <f t="shared" si="39"/>
        <v>342</v>
      </c>
      <c r="CG13" s="16"/>
      <c r="CH13" s="15">
        <v>58</v>
      </c>
      <c r="CI13" s="15">
        <f t="shared" si="40"/>
        <v>0</v>
      </c>
      <c r="CJ13" s="15">
        <f t="shared" si="41"/>
        <v>348</v>
      </c>
      <c r="CK13" s="16"/>
      <c r="CL13" s="15">
        <v>57</v>
      </c>
      <c r="CM13" s="15">
        <f t="shared" si="42"/>
        <v>0</v>
      </c>
      <c r="CN13" s="15">
        <f t="shared" si="43"/>
        <v>342</v>
      </c>
      <c r="CO13" s="16"/>
      <c r="CP13" s="15">
        <v>58</v>
      </c>
      <c r="CQ13" s="15">
        <f t="shared" si="44"/>
        <v>0</v>
      </c>
      <c r="CR13" s="15">
        <f t="shared" si="45"/>
        <v>348</v>
      </c>
      <c r="CS13" s="16"/>
      <c r="CT13" s="15">
        <v>60</v>
      </c>
      <c r="CU13" s="15">
        <f t="shared" si="46"/>
        <v>0</v>
      </c>
      <c r="CV13" s="15">
        <f t="shared" si="47"/>
        <v>360</v>
      </c>
      <c r="CW13" s="16"/>
      <c r="CX13" s="15">
        <v>57</v>
      </c>
      <c r="CY13" s="15">
        <f t="shared" si="48"/>
        <v>0</v>
      </c>
      <c r="CZ13" s="15">
        <f t="shared" si="49"/>
        <v>342</v>
      </c>
      <c r="DA13" s="16"/>
      <c r="DB13" s="15">
        <v>58</v>
      </c>
      <c r="DC13" s="15">
        <f t="shared" si="50"/>
        <v>0</v>
      </c>
      <c r="DD13" s="15">
        <f t="shared" si="51"/>
        <v>348</v>
      </c>
      <c r="DE13" s="16"/>
      <c r="DF13" s="15">
        <v>56</v>
      </c>
      <c r="DG13" s="15">
        <f t="shared" si="52"/>
        <v>0</v>
      </c>
      <c r="DH13" s="15">
        <f t="shared" si="53"/>
        <v>336</v>
      </c>
      <c r="DI13" s="16"/>
      <c r="DJ13" s="15"/>
      <c r="DK13" s="15">
        <f t="shared" si="54"/>
        <v>0</v>
      </c>
      <c r="DL13" s="15">
        <f t="shared" si="55"/>
        <v>0</v>
      </c>
      <c r="DM13" s="16"/>
      <c r="DN13" s="15"/>
      <c r="DO13" s="15">
        <f t="shared" si="56"/>
        <v>0</v>
      </c>
      <c r="DP13" s="15">
        <f t="shared" si="57"/>
        <v>0</v>
      </c>
      <c r="DQ13" s="16"/>
      <c r="DR13" s="15"/>
      <c r="DS13" s="15">
        <f t="shared" si="58"/>
        <v>0</v>
      </c>
      <c r="DT13" s="15">
        <f t="shared" si="59"/>
        <v>0</v>
      </c>
      <c r="DU13" s="16"/>
      <c r="DV13" s="15"/>
      <c r="DW13" s="15"/>
      <c r="DX13" s="15">
        <f t="shared" si="60"/>
        <v>0</v>
      </c>
      <c r="DZ13" s="15">
        <f t="shared" si="61"/>
        <v>63</v>
      </c>
      <c r="EA13" s="15">
        <f t="shared" si="62"/>
        <v>33</v>
      </c>
    </row>
    <row r="14" spans="1:131" s="14" customFormat="1" x14ac:dyDescent="0.2">
      <c r="A14" s="15">
        <v>14</v>
      </c>
      <c r="B14" s="14" t="s">
        <v>38</v>
      </c>
      <c r="C14" s="15">
        <v>0</v>
      </c>
      <c r="D14" s="15">
        <v>1</v>
      </c>
      <c r="E14" s="16"/>
      <c r="F14" s="15">
        <v>14</v>
      </c>
      <c r="G14" s="15">
        <f t="shared" si="0"/>
        <v>0</v>
      </c>
      <c r="H14" s="15">
        <f t="shared" si="1"/>
        <v>84</v>
      </c>
      <c r="I14" s="16"/>
      <c r="J14" s="15">
        <v>18</v>
      </c>
      <c r="K14" s="15">
        <f t="shared" si="2"/>
        <v>0</v>
      </c>
      <c r="L14" s="15">
        <f t="shared" si="3"/>
        <v>108</v>
      </c>
      <c r="M14" s="16"/>
      <c r="N14" s="15">
        <v>12</v>
      </c>
      <c r="O14" s="15">
        <f t="shared" si="4"/>
        <v>0</v>
      </c>
      <c r="P14" s="15">
        <f t="shared" si="5"/>
        <v>72</v>
      </c>
      <c r="Q14" s="16"/>
      <c r="R14" s="15">
        <v>11</v>
      </c>
      <c r="S14" s="15">
        <f t="shared" si="6"/>
        <v>0</v>
      </c>
      <c r="T14" s="15">
        <f t="shared" si="7"/>
        <v>66</v>
      </c>
      <c r="U14" s="16"/>
      <c r="V14" s="15">
        <v>10</v>
      </c>
      <c r="W14" s="15">
        <f t="shared" si="8"/>
        <v>0</v>
      </c>
      <c r="X14" s="15">
        <f t="shared" si="9"/>
        <v>60</v>
      </c>
      <c r="Y14" s="16"/>
      <c r="Z14" s="15">
        <v>8</v>
      </c>
      <c r="AA14" s="15">
        <f t="shared" si="10"/>
        <v>0</v>
      </c>
      <c r="AB14" s="15">
        <f t="shared" si="11"/>
        <v>48</v>
      </c>
      <c r="AC14" s="16"/>
      <c r="AD14" s="15">
        <v>13</v>
      </c>
      <c r="AE14" s="15">
        <f t="shared" si="12"/>
        <v>0</v>
      </c>
      <c r="AF14" s="15">
        <f t="shared" si="13"/>
        <v>78</v>
      </c>
      <c r="AG14" s="16"/>
      <c r="AH14" s="15">
        <v>13</v>
      </c>
      <c r="AI14" s="15">
        <f t="shared" si="14"/>
        <v>0</v>
      </c>
      <c r="AJ14" s="15">
        <f t="shared" si="15"/>
        <v>78</v>
      </c>
      <c r="AK14" s="16"/>
      <c r="AL14" s="15">
        <v>9</v>
      </c>
      <c r="AM14" s="15">
        <f t="shared" si="16"/>
        <v>0</v>
      </c>
      <c r="AN14" s="15">
        <f t="shared" si="17"/>
        <v>54</v>
      </c>
      <c r="AO14" s="16"/>
      <c r="AP14" s="15">
        <v>11</v>
      </c>
      <c r="AQ14" s="15">
        <f t="shared" si="18"/>
        <v>0</v>
      </c>
      <c r="AR14" s="15">
        <f t="shared" si="19"/>
        <v>66</v>
      </c>
      <c r="AS14" s="16"/>
      <c r="AT14" s="15">
        <v>8</v>
      </c>
      <c r="AU14" s="15">
        <f t="shared" si="20"/>
        <v>0</v>
      </c>
      <c r="AV14" s="15">
        <f t="shared" si="21"/>
        <v>48</v>
      </c>
      <c r="AW14" s="16"/>
      <c r="AX14" s="15">
        <v>11</v>
      </c>
      <c r="AY14" s="15">
        <f t="shared" si="22"/>
        <v>0</v>
      </c>
      <c r="AZ14" s="15">
        <f t="shared" si="23"/>
        <v>66</v>
      </c>
      <c r="BA14" s="16"/>
      <c r="BB14" s="15">
        <v>13</v>
      </c>
      <c r="BC14" s="15">
        <f t="shared" si="24"/>
        <v>0</v>
      </c>
      <c r="BD14" s="15">
        <f t="shared" si="25"/>
        <v>78</v>
      </c>
      <c r="BE14" s="16"/>
      <c r="BF14" s="15">
        <v>13</v>
      </c>
      <c r="BG14" s="15">
        <f t="shared" si="26"/>
        <v>0</v>
      </c>
      <c r="BH14" s="15">
        <f t="shared" si="27"/>
        <v>78</v>
      </c>
      <c r="BI14" s="16"/>
      <c r="BJ14" s="15">
        <v>9</v>
      </c>
      <c r="BK14" s="15">
        <f t="shared" si="28"/>
        <v>0</v>
      </c>
      <c r="BL14" s="15">
        <f t="shared" si="29"/>
        <v>54</v>
      </c>
      <c r="BM14" s="16"/>
      <c r="BN14" s="15">
        <v>12</v>
      </c>
      <c r="BO14" s="15">
        <f t="shared" si="30"/>
        <v>0</v>
      </c>
      <c r="BP14" s="15">
        <f t="shared" si="31"/>
        <v>72</v>
      </c>
      <c r="BQ14" s="16"/>
      <c r="BR14" s="15">
        <v>16</v>
      </c>
      <c r="BS14" s="15">
        <f t="shared" si="32"/>
        <v>0</v>
      </c>
      <c r="BT14" s="15">
        <f t="shared" si="33"/>
        <v>96</v>
      </c>
      <c r="BU14" s="16"/>
      <c r="BV14" s="15">
        <v>6</v>
      </c>
      <c r="BW14" s="15">
        <f t="shared" si="34"/>
        <v>0</v>
      </c>
      <c r="BX14" s="15">
        <f t="shared" si="35"/>
        <v>36</v>
      </c>
      <c r="BY14" s="16"/>
      <c r="BZ14" s="15">
        <v>30</v>
      </c>
      <c r="CA14" s="15">
        <f t="shared" si="36"/>
        <v>0</v>
      </c>
      <c r="CB14" s="15">
        <f t="shared" si="37"/>
        <v>180</v>
      </c>
      <c r="CC14" s="16"/>
      <c r="CD14" s="15">
        <v>9</v>
      </c>
      <c r="CE14" s="15">
        <f t="shared" si="38"/>
        <v>0</v>
      </c>
      <c r="CF14" s="15">
        <f t="shared" si="39"/>
        <v>54</v>
      </c>
      <c r="CG14" s="16"/>
      <c r="CH14" s="15">
        <v>10</v>
      </c>
      <c r="CI14" s="15">
        <f t="shared" si="40"/>
        <v>0</v>
      </c>
      <c r="CJ14" s="15">
        <f t="shared" si="41"/>
        <v>60</v>
      </c>
      <c r="CK14" s="16"/>
      <c r="CL14" s="15">
        <v>4</v>
      </c>
      <c r="CM14" s="15">
        <f t="shared" si="42"/>
        <v>0</v>
      </c>
      <c r="CN14" s="15">
        <f t="shared" si="43"/>
        <v>24</v>
      </c>
      <c r="CO14" s="16"/>
      <c r="CP14" s="15">
        <v>14</v>
      </c>
      <c r="CQ14" s="15">
        <f t="shared" si="44"/>
        <v>0</v>
      </c>
      <c r="CR14" s="15">
        <f t="shared" si="45"/>
        <v>84</v>
      </c>
      <c r="CS14" s="16"/>
      <c r="CT14" s="15">
        <v>5</v>
      </c>
      <c r="CU14" s="15">
        <f t="shared" si="46"/>
        <v>0</v>
      </c>
      <c r="CV14" s="15">
        <f t="shared" si="47"/>
        <v>30</v>
      </c>
      <c r="CW14" s="16"/>
      <c r="CX14" s="15">
        <v>22</v>
      </c>
      <c r="CY14" s="15">
        <f t="shared" si="48"/>
        <v>0</v>
      </c>
      <c r="CZ14" s="15">
        <f t="shared" si="49"/>
        <v>132</v>
      </c>
      <c r="DA14" s="16"/>
      <c r="DB14" s="15">
        <v>9</v>
      </c>
      <c r="DC14" s="15">
        <f t="shared" si="50"/>
        <v>0</v>
      </c>
      <c r="DD14" s="15">
        <f t="shared" si="51"/>
        <v>54</v>
      </c>
      <c r="DE14" s="16"/>
      <c r="DF14" s="15">
        <v>9</v>
      </c>
      <c r="DG14" s="15">
        <f t="shared" si="52"/>
        <v>0</v>
      </c>
      <c r="DH14" s="15">
        <f t="shared" si="53"/>
        <v>54</v>
      </c>
      <c r="DI14" s="16"/>
      <c r="DJ14" s="15"/>
      <c r="DK14" s="15">
        <f t="shared" si="54"/>
        <v>0</v>
      </c>
      <c r="DL14" s="15">
        <f t="shared" si="55"/>
        <v>0</v>
      </c>
      <c r="DM14" s="16"/>
      <c r="DN14" s="15"/>
      <c r="DO14" s="15">
        <f t="shared" si="56"/>
        <v>0</v>
      </c>
      <c r="DP14" s="15">
        <f t="shared" si="57"/>
        <v>0</v>
      </c>
      <c r="DQ14" s="16"/>
      <c r="DR14" s="15"/>
      <c r="DS14" s="15">
        <f t="shared" si="58"/>
        <v>0</v>
      </c>
      <c r="DT14" s="15">
        <f t="shared" si="59"/>
        <v>0</v>
      </c>
      <c r="DU14" s="16"/>
      <c r="DV14" s="15"/>
      <c r="DW14" s="15"/>
      <c r="DX14" s="15">
        <f t="shared" si="60"/>
        <v>0</v>
      </c>
      <c r="DZ14" s="15">
        <f t="shared" si="61"/>
        <v>30</v>
      </c>
      <c r="EA14" s="15">
        <f t="shared" si="62"/>
        <v>4</v>
      </c>
    </row>
    <row r="15" spans="1:131" s="14" customFormat="1" x14ac:dyDescent="0.2">
      <c r="A15" s="15">
        <v>7</v>
      </c>
      <c r="B15" s="14" t="s">
        <v>39</v>
      </c>
      <c r="C15" s="15">
        <v>0</v>
      </c>
      <c r="D15" s="15">
        <v>1</v>
      </c>
      <c r="E15" s="16"/>
      <c r="F15" s="15">
        <v>35</v>
      </c>
      <c r="G15" s="15">
        <f t="shared" si="0"/>
        <v>0</v>
      </c>
      <c r="H15" s="15">
        <f t="shared" si="1"/>
        <v>210</v>
      </c>
      <c r="I15" s="16"/>
      <c r="J15" s="15">
        <v>39</v>
      </c>
      <c r="K15" s="15">
        <f t="shared" si="2"/>
        <v>0</v>
      </c>
      <c r="L15" s="15">
        <f t="shared" si="3"/>
        <v>234</v>
      </c>
      <c r="M15" s="16"/>
      <c r="N15" s="15">
        <v>38</v>
      </c>
      <c r="O15" s="15">
        <f t="shared" si="4"/>
        <v>0</v>
      </c>
      <c r="P15" s="15">
        <f t="shared" si="5"/>
        <v>228</v>
      </c>
      <c r="Q15" s="16"/>
      <c r="R15" s="15">
        <v>42</v>
      </c>
      <c r="S15" s="15">
        <f t="shared" si="6"/>
        <v>0</v>
      </c>
      <c r="T15" s="15">
        <f t="shared" si="7"/>
        <v>252</v>
      </c>
      <c r="U15" s="16"/>
      <c r="V15" s="15">
        <v>39</v>
      </c>
      <c r="W15" s="15">
        <f t="shared" si="8"/>
        <v>0</v>
      </c>
      <c r="X15" s="15">
        <f t="shared" si="9"/>
        <v>234</v>
      </c>
      <c r="Y15" s="16"/>
      <c r="Z15" s="15">
        <v>32</v>
      </c>
      <c r="AA15" s="15">
        <f t="shared" si="10"/>
        <v>0</v>
      </c>
      <c r="AB15" s="15">
        <f t="shared" si="11"/>
        <v>192</v>
      </c>
      <c r="AC15" s="16"/>
      <c r="AD15" s="15">
        <v>37</v>
      </c>
      <c r="AE15" s="15">
        <f t="shared" si="12"/>
        <v>0</v>
      </c>
      <c r="AF15" s="15">
        <f t="shared" si="13"/>
        <v>222</v>
      </c>
      <c r="AG15" s="16"/>
      <c r="AH15" s="15">
        <v>36</v>
      </c>
      <c r="AI15" s="15">
        <f t="shared" si="14"/>
        <v>0</v>
      </c>
      <c r="AJ15" s="15">
        <f t="shared" si="15"/>
        <v>216</v>
      </c>
      <c r="AK15" s="16"/>
      <c r="AL15" s="15">
        <v>34</v>
      </c>
      <c r="AM15" s="15">
        <f t="shared" si="16"/>
        <v>0</v>
      </c>
      <c r="AN15" s="15">
        <f t="shared" si="17"/>
        <v>204</v>
      </c>
      <c r="AO15" s="16"/>
      <c r="AP15" s="15">
        <v>42</v>
      </c>
      <c r="AQ15" s="15">
        <f t="shared" si="18"/>
        <v>0</v>
      </c>
      <c r="AR15" s="15">
        <f t="shared" si="19"/>
        <v>252</v>
      </c>
      <c r="AS15" s="16"/>
      <c r="AT15" s="15">
        <v>45</v>
      </c>
      <c r="AU15" s="15">
        <f t="shared" si="20"/>
        <v>0</v>
      </c>
      <c r="AV15" s="15">
        <f t="shared" si="21"/>
        <v>270</v>
      </c>
      <c r="AW15" s="16"/>
      <c r="AX15" s="15">
        <v>37</v>
      </c>
      <c r="AY15" s="15">
        <f t="shared" si="22"/>
        <v>0</v>
      </c>
      <c r="AZ15" s="15">
        <f t="shared" si="23"/>
        <v>222</v>
      </c>
      <c r="BA15" s="16"/>
      <c r="BB15" s="15">
        <v>44</v>
      </c>
      <c r="BC15" s="15">
        <f t="shared" si="24"/>
        <v>0</v>
      </c>
      <c r="BD15" s="15">
        <f t="shared" si="25"/>
        <v>264</v>
      </c>
      <c r="BE15" s="16"/>
      <c r="BF15" s="15">
        <v>40</v>
      </c>
      <c r="BG15" s="15">
        <f t="shared" si="26"/>
        <v>0</v>
      </c>
      <c r="BH15" s="15">
        <f t="shared" si="27"/>
        <v>240</v>
      </c>
      <c r="BI15" s="16"/>
      <c r="BJ15" s="15">
        <v>43</v>
      </c>
      <c r="BK15" s="15">
        <f t="shared" si="28"/>
        <v>0</v>
      </c>
      <c r="BL15" s="15">
        <f t="shared" si="29"/>
        <v>258</v>
      </c>
      <c r="BM15" s="16"/>
      <c r="BN15" s="15">
        <v>40</v>
      </c>
      <c r="BO15" s="15">
        <f t="shared" si="30"/>
        <v>0</v>
      </c>
      <c r="BP15" s="15">
        <f t="shared" si="31"/>
        <v>240</v>
      </c>
      <c r="BQ15" s="16"/>
      <c r="BR15" s="15">
        <v>55</v>
      </c>
      <c r="BS15" s="15">
        <f t="shared" si="32"/>
        <v>0</v>
      </c>
      <c r="BT15" s="15">
        <f t="shared" si="33"/>
        <v>330</v>
      </c>
      <c r="BU15" s="16"/>
      <c r="BV15" s="15">
        <v>34</v>
      </c>
      <c r="BW15" s="15">
        <f t="shared" si="34"/>
        <v>0</v>
      </c>
      <c r="BX15" s="15">
        <f t="shared" si="35"/>
        <v>204</v>
      </c>
      <c r="BY15" s="16"/>
      <c r="BZ15" s="15">
        <v>37</v>
      </c>
      <c r="CA15" s="15">
        <f t="shared" si="36"/>
        <v>0</v>
      </c>
      <c r="CB15" s="15">
        <f t="shared" si="37"/>
        <v>222</v>
      </c>
      <c r="CC15" s="16"/>
      <c r="CD15" s="15">
        <v>44</v>
      </c>
      <c r="CE15" s="15">
        <f t="shared" si="38"/>
        <v>0</v>
      </c>
      <c r="CF15" s="15">
        <f t="shared" si="39"/>
        <v>264</v>
      </c>
      <c r="CG15" s="16"/>
      <c r="CH15" s="15">
        <v>49</v>
      </c>
      <c r="CI15" s="15">
        <f t="shared" si="40"/>
        <v>0</v>
      </c>
      <c r="CJ15" s="15">
        <f t="shared" si="41"/>
        <v>294</v>
      </c>
      <c r="CK15" s="16"/>
      <c r="CL15" s="15">
        <v>45</v>
      </c>
      <c r="CM15" s="15">
        <f t="shared" si="42"/>
        <v>0</v>
      </c>
      <c r="CN15" s="15">
        <f t="shared" si="43"/>
        <v>270</v>
      </c>
      <c r="CO15" s="16"/>
      <c r="CP15" s="15">
        <v>40</v>
      </c>
      <c r="CQ15" s="15">
        <f t="shared" si="44"/>
        <v>0</v>
      </c>
      <c r="CR15" s="15">
        <f t="shared" si="45"/>
        <v>240</v>
      </c>
      <c r="CS15" s="16"/>
      <c r="CT15" s="15">
        <v>51</v>
      </c>
      <c r="CU15" s="15">
        <f t="shared" si="46"/>
        <v>0</v>
      </c>
      <c r="CV15" s="15">
        <f t="shared" si="47"/>
        <v>306</v>
      </c>
      <c r="CW15" s="16"/>
      <c r="CX15" s="15">
        <v>40</v>
      </c>
      <c r="CY15" s="15">
        <f t="shared" si="48"/>
        <v>0</v>
      </c>
      <c r="CZ15" s="15">
        <f t="shared" si="49"/>
        <v>240</v>
      </c>
      <c r="DA15" s="16"/>
      <c r="DB15" s="15">
        <v>44</v>
      </c>
      <c r="DC15" s="15">
        <f t="shared" si="50"/>
        <v>0</v>
      </c>
      <c r="DD15" s="15">
        <f t="shared" si="51"/>
        <v>264</v>
      </c>
      <c r="DE15" s="16"/>
      <c r="DF15" s="15">
        <v>40</v>
      </c>
      <c r="DG15" s="15">
        <f t="shared" si="52"/>
        <v>0</v>
      </c>
      <c r="DH15" s="15">
        <f t="shared" si="53"/>
        <v>240</v>
      </c>
      <c r="DI15" s="16"/>
      <c r="DJ15" s="15"/>
      <c r="DK15" s="15">
        <f t="shared" si="54"/>
        <v>0</v>
      </c>
      <c r="DL15" s="15">
        <f t="shared" si="55"/>
        <v>0</v>
      </c>
      <c r="DM15" s="16"/>
      <c r="DN15" s="15"/>
      <c r="DO15" s="15">
        <f t="shared" si="56"/>
        <v>0</v>
      </c>
      <c r="DP15" s="15">
        <f t="shared" si="57"/>
        <v>0</v>
      </c>
      <c r="DQ15" s="16"/>
      <c r="DR15" s="15"/>
      <c r="DS15" s="15">
        <f t="shared" si="58"/>
        <v>0</v>
      </c>
      <c r="DT15" s="15">
        <f t="shared" si="59"/>
        <v>0</v>
      </c>
      <c r="DU15" s="16"/>
      <c r="DV15" s="15"/>
      <c r="DW15" s="15"/>
      <c r="DX15" s="15">
        <f t="shared" si="60"/>
        <v>0</v>
      </c>
      <c r="DZ15" s="15">
        <f t="shared" si="61"/>
        <v>55</v>
      </c>
      <c r="EA15" s="15">
        <f t="shared" si="62"/>
        <v>32</v>
      </c>
    </row>
    <row r="16" spans="1:131" s="14" customFormat="1" x14ac:dyDescent="0.2">
      <c r="A16" s="15">
        <v>10</v>
      </c>
      <c r="B16" s="14" t="s">
        <v>40</v>
      </c>
      <c r="C16" s="15">
        <v>0</v>
      </c>
      <c r="D16" s="15">
        <v>1</v>
      </c>
      <c r="E16" s="16"/>
      <c r="F16" s="15">
        <v>39</v>
      </c>
      <c r="G16" s="15">
        <f t="shared" si="0"/>
        <v>0</v>
      </c>
      <c r="H16" s="15">
        <f t="shared" si="1"/>
        <v>234</v>
      </c>
      <c r="I16" s="16"/>
      <c r="J16" s="15">
        <v>27</v>
      </c>
      <c r="K16" s="15">
        <f t="shared" si="2"/>
        <v>0</v>
      </c>
      <c r="L16" s="15">
        <f t="shared" si="3"/>
        <v>162</v>
      </c>
      <c r="M16" s="16"/>
      <c r="N16" s="15">
        <v>24</v>
      </c>
      <c r="O16" s="15">
        <f t="shared" si="4"/>
        <v>0</v>
      </c>
      <c r="P16" s="15">
        <f t="shared" si="5"/>
        <v>144</v>
      </c>
      <c r="Q16" s="16"/>
      <c r="R16" s="15">
        <v>20</v>
      </c>
      <c r="S16" s="15">
        <f t="shared" si="6"/>
        <v>0</v>
      </c>
      <c r="T16" s="15">
        <f t="shared" si="7"/>
        <v>120</v>
      </c>
      <c r="U16" s="16"/>
      <c r="V16" s="15">
        <v>38</v>
      </c>
      <c r="W16" s="15">
        <f t="shared" si="8"/>
        <v>0</v>
      </c>
      <c r="X16" s="15">
        <f t="shared" si="9"/>
        <v>228</v>
      </c>
      <c r="Y16" s="16"/>
      <c r="Z16" s="15">
        <v>9</v>
      </c>
      <c r="AA16" s="15">
        <f t="shared" si="10"/>
        <v>0</v>
      </c>
      <c r="AB16" s="15">
        <f t="shared" si="11"/>
        <v>54</v>
      </c>
      <c r="AC16" s="16"/>
      <c r="AD16" s="15">
        <v>11</v>
      </c>
      <c r="AE16" s="15">
        <f t="shared" si="12"/>
        <v>0</v>
      </c>
      <c r="AF16" s="15">
        <f t="shared" si="13"/>
        <v>66</v>
      </c>
      <c r="AG16" s="16"/>
      <c r="AH16" s="15">
        <v>31</v>
      </c>
      <c r="AI16" s="15">
        <f t="shared" si="14"/>
        <v>0</v>
      </c>
      <c r="AJ16" s="15">
        <f t="shared" si="15"/>
        <v>186</v>
      </c>
      <c r="AK16" s="16"/>
      <c r="AL16" s="15">
        <v>29</v>
      </c>
      <c r="AM16" s="15">
        <f t="shared" si="16"/>
        <v>0</v>
      </c>
      <c r="AN16" s="15">
        <f t="shared" si="17"/>
        <v>174</v>
      </c>
      <c r="AO16" s="16"/>
      <c r="AP16" s="15">
        <v>22</v>
      </c>
      <c r="AQ16" s="15">
        <f t="shared" si="18"/>
        <v>0</v>
      </c>
      <c r="AR16" s="15">
        <f t="shared" si="19"/>
        <v>132</v>
      </c>
      <c r="AS16" s="16"/>
      <c r="AT16" s="15">
        <v>17</v>
      </c>
      <c r="AU16" s="15">
        <f t="shared" si="20"/>
        <v>0</v>
      </c>
      <c r="AV16" s="15">
        <f t="shared" si="21"/>
        <v>102</v>
      </c>
      <c r="AW16" s="16"/>
      <c r="AX16" s="15">
        <v>26</v>
      </c>
      <c r="AY16" s="15">
        <f t="shared" si="22"/>
        <v>0</v>
      </c>
      <c r="AZ16" s="15">
        <f t="shared" si="23"/>
        <v>156</v>
      </c>
      <c r="BA16" s="16"/>
      <c r="BB16" s="15">
        <v>34</v>
      </c>
      <c r="BC16" s="15">
        <f t="shared" si="24"/>
        <v>0</v>
      </c>
      <c r="BD16" s="15">
        <f t="shared" si="25"/>
        <v>204</v>
      </c>
      <c r="BE16" s="16"/>
      <c r="BF16" s="15">
        <v>20</v>
      </c>
      <c r="BG16" s="15">
        <f t="shared" si="26"/>
        <v>0</v>
      </c>
      <c r="BH16" s="15">
        <f t="shared" si="27"/>
        <v>120</v>
      </c>
      <c r="BI16" s="16"/>
      <c r="BJ16" s="15">
        <v>25</v>
      </c>
      <c r="BK16" s="15">
        <f t="shared" si="28"/>
        <v>0</v>
      </c>
      <c r="BL16" s="15">
        <f t="shared" si="29"/>
        <v>150</v>
      </c>
      <c r="BM16" s="16"/>
      <c r="BN16" s="15">
        <v>28</v>
      </c>
      <c r="BO16" s="15">
        <f t="shared" si="30"/>
        <v>0</v>
      </c>
      <c r="BP16" s="15">
        <f t="shared" si="31"/>
        <v>168</v>
      </c>
      <c r="BQ16" s="16"/>
      <c r="BR16" s="15">
        <v>14</v>
      </c>
      <c r="BS16" s="15">
        <f t="shared" si="32"/>
        <v>0</v>
      </c>
      <c r="BT16" s="15">
        <f t="shared" si="33"/>
        <v>84</v>
      </c>
      <c r="BU16" s="16"/>
      <c r="BV16" s="15">
        <v>7</v>
      </c>
      <c r="BW16" s="15">
        <f t="shared" si="34"/>
        <v>0</v>
      </c>
      <c r="BX16" s="15">
        <f t="shared" si="35"/>
        <v>42</v>
      </c>
      <c r="BY16" s="16"/>
      <c r="BZ16" s="15">
        <v>36</v>
      </c>
      <c r="CA16" s="15">
        <f t="shared" si="36"/>
        <v>0</v>
      </c>
      <c r="CB16" s="15">
        <f t="shared" si="37"/>
        <v>216</v>
      </c>
      <c r="CC16" s="16"/>
      <c r="CD16" s="15">
        <v>25</v>
      </c>
      <c r="CE16" s="15">
        <f t="shared" si="38"/>
        <v>0</v>
      </c>
      <c r="CF16" s="15">
        <f t="shared" si="39"/>
        <v>150</v>
      </c>
      <c r="CG16" s="16"/>
      <c r="CH16" s="15">
        <v>31</v>
      </c>
      <c r="CI16" s="15">
        <f t="shared" si="40"/>
        <v>0</v>
      </c>
      <c r="CJ16" s="15">
        <f t="shared" si="41"/>
        <v>186</v>
      </c>
      <c r="CK16" s="16"/>
      <c r="CL16" s="15">
        <v>19</v>
      </c>
      <c r="CM16" s="15">
        <f t="shared" si="42"/>
        <v>0</v>
      </c>
      <c r="CN16" s="15">
        <f t="shared" si="43"/>
        <v>114</v>
      </c>
      <c r="CO16" s="16"/>
      <c r="CP16" s="15">
        <v>23</v>
      </c>
      <c r="CQ16" s="15">
        <f t="shared" si="44"/>
        <v>0</v>
      </c>
      <c r="CR16" s="15">
        <f t="shared" si="45"/>
        <v>138</v>
      </c>
      <c r="CS16" s="16"/>
      <c r="CT16" s="15">
        <v>32</v>
      </c>
      <c r="CU16" s="15">
        <f t="shared" si="46"/>
        <v>0</v>
      </c>
      <c r="CV16" s="15">
        <f t="shared" si="47"/>
        <v>192</v>
      </c>
      <c r="CW16" s="16"/>
      <c r="CX16" s="15">
        <v>23</v>
      </c>
      <c r="CY16" s="15">
        <f t="shared" si="48"/>
        <v>0</v>
      </c>
      <c r="CZ16" s="15">
        <f t="shared" si="49"/>
        <v>138</v>
      </c>
      <c r="DA16" s="16"/>
      <c r="DB16" s="15">
        <v>29</v>
      </c>
      <c r="DC16" s="15">
        <f t="shared" si="50"/>
        <v>0</v>
      </c>
      <c r="DD16" s="15">
        <f t="shared" si="51"/>
        <v>174</v>
      </c>
      <c r="DE16" s="16"/>
      <c r="DF16" s="15">
        <v>25</v>
      </c>
      <c r="DG16" s="15">
        <f t="shared" si="52"/>
        <v>0</v>
      </c>
      <c r="DH16" s="15">
        <f t="shared" si="53"/>
        <v>150</v>
      </c>
      <c r="DI16" s="16"/>
      <c r="DJ16" s="15"/>
      <c r="DK16" s="15">
        <f t="shared" si="54"/>
        <v>0</v>
      </c>
      <c r="DL16" s="15">
        <f t="shared" si="55"/>
        <v>0</v>
      </c>
      <c r="DM16" s="16"/>
      <c r="DN16" s="15"/>
      <c r="DO16" s="15">
        <f t="shared" si="56"/>
        <v>0</v>
      </c>
      <c r="DP16" s="15">
        <f t="shared" si="57"/>
        <v>0</v>
      </c>
      <c r="DQ16" s="16"/>
      <c r="DR16" s="15"/>
      <c r="DS16" s="15">
        <f t="shared" si="58"/>
        <v>0</v>
      </c>
      <c r="DT16" s="15">
        <f t="shared" si="59"/>
        <v>0</v>
      </c>
      <c r="DU16" s="16"/>
      <c r="DV16" s="15"/>
      <c r="DW16" s="15"/>
      <c r="DX16" s="15">
        <f t="shared" si="60"/>
        <v>0</v>
      </c>
      <c r="DZ16" s="15">
        <f t="shared" si="61"/>
        <v>39</v>
      </c>
      <c r="EA16" s="15">
        <f t="shared" si="62"/>
        <v>7</v>
      </c>
    </row>
    <row r="17" spans="1:131" s="14" customFormat="1" x14ac:dyDescent="0.2">
      <c r="A17" s="15">
        <v>2</v>
      </c>
      <c r="B17" s="14" t="s">
        <v>41</v>
      </c>
      <c r="C17" s="15">
        <v>0</v>
      </c>
      <c r="D17" s="15">
        <v>1</v>
      </c>
      <c r="E17" s="16"/>
      <c r="F17" s="15">
        <v>52</v>
      </c>
      <c r="G17" s="15">
        <f t="shared" si="0"/>
        <v>0</v>
      </c>
      <c r="H17" s="15">
        <f t="shared" si="1"/>
        <v>312</v>
      </c>
      <c r="I17" s="16"/>
      <c r="J17" s="15">
        <v>59</v>
      </c>
      <c r="K17" s="15">
        <f t="shared" si="2"/>
        <v>0</v>
      </c>
      <c r="L17" s="15">
        <f t="shared" si="3"/>
        <v>354</v>
      </c>
      <c r="M17" s="16"/>
      <c r="N17" s="15">
        <v>57</v>
      </c>
      <c r="O17" s="15">
        <f t="shared" si="4"/>
        <v>0</v>
      </c>
      <c r="P17" s="15">
        <f t="shared" si="5"/>
        <v>342</v>
      </c>
      <c r="Q17" s="16"/>
      <c r="R17" s="15">
        <v>53</v>
      </c>
      <c r="S17" s="15">
        <f t="shared" si="6"/>
        <v>0</v>
      </c>
      <c r="T17" s="15">
        <f t="shared" si="7"/>
        <v>318</v>
      </c>
      <c r="U17" s="16"/>
      <c r="V17" s="15">
        <v>58</v>
      </c>
      <c r="W17" s="15">
        <f t="shared" si="8"/>
        <v>0</v>
      </c>
      <c r="X17" s="15">
        <f t="shared" si="9"/>
        <v>348</v>
      </c>
      <c r="Y17" s="16"/>
      <c r="Z17" s="15">
        <v>43</v>
      </c>
      <c r="AA17" s="15">
        <f t="shared" si="10"/>
        <v>0</v>
      </c>
      <c r="AB17" s="15">
        <f t="shared" si="11"/>
        <v>258</v>
      </c>
      <c r="AC17" s="16"/>
      <c r="AD17" s="15">
        <v>58</v>
      </c>
      <c r="AE17" s="15">
        <f t="shared" si="12"/>
        <v>0</v>
      </c>
      <c r="AF17" s="15">
        <f t="shared" si="13"/>
        <v>348</v>
      </c>
      <c r="AG17" s="16"/>
      <c r="AH17" s="15">
        <v>59</v>
      </c>
      <c r="AI17" s="15">
        <f t="shared" si="14"/>
        <v>0</v>
      </c>
      <c r="AJ17" s="15">
        <f t="shared" si="15"/>
        <v>354</v>
      </c>
      <c r="AK17" s="16"/>
      <c r="AL17" s="15">
        <v>60</v>
      </c>
      <c r="AM17" s="15">
        <f t="shared" si="16"/>
        <v>0</v>
      </c>
      <c r="AN17" s="15">
        <f t="shared" si="17"/>
        <v>360</v>
      </c>
      <c r="AO17" s="16"/>
      <c r="AP17" s="15">
        <v>58</v>
      </c>
      <c r="AQ17" s="15">
        <f t="shared" si="18"/>
        <v>0</v>
      </c>
      <c r="AR17" s="15">
        <f t="shared" si="19"/>
        <v>348</v>
      </c>
      <c r="AS17" s="16"/>
      <c r="AT17" s="15">
        <v>60</v>
      </c>
      <c r="AU17" s="15">
        <f t="shared" si="20"/>
        <v>0</v>
      </c>
      <c r="AV17" s="15">
        <f t="shared" si="21"/>
        <v>360</v>
      </c>
      <c r="AW17" s="16"/>
      <c r="AX17" s="15">
        <v>59</v>
      </c>
      <c r="AY17" s="15">
        <f t="shared" si="22"/>
        <v>0</v>
      </c>
      <c r="AZ17" s="15">
        <f t="shared" si="23"/>
        <v>354</v>
      </c>
      <c r="BA17" s="16"/>
      <c r="BB17" s="15">
        <v>57</v>
      </c>
      <c r="BC17" s="15">
        <f t="shared" si="24"/>
        <v>0</v>
      </c>
      <c r="BD17" s="15">
        <f t="shared" si="25"/>
        <v>342</v>
      </c>
      <c r="BE17" s="16"/>
      <c r="BF17" s="15">
        <v>58</v>
      </c>
      <c r="BG17" s="15">
        <f t="shared" si="26"/>
        <v>0</v>
      </c>
      <c r="BH17" s="15">
        <f t="shared" si="27"/>
        <v>348</v>
      </c>
      <c r="BI17" s="16"/>
      <c r="BJ17" s="15">
        <v>59</v>
      </c>
      <c r="BK17" s="15">
        <f t="shared" si="28"/>
        <v>0</v>
      </c>
      <c r="BL17" s="15">
        <f t="shared" si="29"/>
        <v>354</v>
      </c>
      <c r="BM17" s="16"/>
      <c r="BN17" s="15">
        <v>47</v>
      </c>
      <c r="BO17" s="15">
        <f t="shared" si="30"/>
        <v>0</v>
      </c>
      <c r="BP17" s="15">
        <f t="shared" si="31"/>
        <v>282</v>
      </c>
      <c r="BQ17" s="16"/>
      <c r="BR17" s="15">
        <v>36</v>
      </c>
      <c r="BS17" s="15">
        <f t="shared" si="32"/>
        <v>0</v>
      </c>
      <c r="BT17" s="15">
        <f t="shared" si="33"/>
        <v>216</v>
      </c>
      <c r="BU17" s="16"/>
      <c r="BV17" s="15">
        <v>47</v>
      </c>
      <c r="BW17" s="15">
        <f t="shared" si="34"/>
        <v>0</v>
      </c>
      <c r="BX17" s="15">
        <f t="shared" si="35"/>
        <v>282</v>
      </c>
      <c r="BY17" s="16"/>
      <c r="BZ17" s="15">
        <v>45</v>
      </c>
      <c r="CA17" s="15">
        <f t="shared" si="36"/>
        <v>0</v>
      </c>
      <c r="CB17" s="15">
        <f t="shared" si="37"/>
        <v>270</v>
      </c>
      <c r="CC17" s="16"/>
      <c r="CD17" s="15">
        <v>55</v>
      </c>
      <c r="CE17" s="15">
        <f t="shared" si="38"/>
        <v>0</v>
      </c>
      <c r="CF17" s="15">
        <f t="shared" si="39"/>
        <v>330</v>
      </c>
      <c r="CG17" s="16"/>
      <c r="CH17" s="15">
        <v>53</v>
      </c>
      <c r="CI17" s="15">
        <f t="shared" si="40"/>
        <v>0</v>
      </c>
      <c r="CJ17" s="15">
        <f t="shared" si="41"/>
        <v>318</v>
      </c>
      <c r="CK17" s="16"/>
      <c r="CL17" s="15">
        <v>56</v>
      </c>
      <c r="CM17" s="15">
        <f t="shared" si="42"/>
        <v>0</v>
      </c>
      <c r="CN17" s="15">
        <f t="shared" si="43"/>
        <v>336</v>
      </c>
      <c r="CO17" s="16"/>
      <c r="CP17" s="15">
        <v>22</v>
      </c>
      <c r="CQ17" s="15">
        <f t="shared" si="44"/>
        <v>0</v>
      </c>
      <c r="CR17" s="15">
        <f t="shared" si="45"/>
        <v>132</v>
      </c>
      <c r="CS17" s="16"/>
      <c r="CT17" s="15">
        <v>33</v>
      </c>
      <c r="CU17" s="15">
        <f t="shared" si="46"/>
        <v>0</v>
      </c>
      <c r="CV17" s="15">
        <f t="shared" si="47"/>
        <v>198</v>
      </c>
      <c r="CW17" s="16"/>
      <c r="CX17" s="15">
        <v>55</v>
      </c>
      <c r="CY17" s="15">
        <f t="shared" si="48"/>
        <v>0</v>
      </c>
      <c r="CZ17" s="15">
        <f t="shared" si="49"/>
        <v>330</v>
      </c>
      <c r="DA17" s="16"/>
      <c r="DB17" s="15">
        <v>54</v>
      </c>
      <c r="DC17" s="15">
        <f t="shared" si="50"/>
        <v>0</v>
      </c>
      <c r="DD17" s="15">
        <f t="shared" si="51"/>
        <v>324</v>
      </c>
      <c r="DE17" s="16"/>
      <c r="DF17" s="15">
        <v>60</v>
      </c>
      <c r="DG17" s="15">
        <f t="shared" si="52"/>
        <v>0</v>
      </c>
      <c r="DH17" s="15">
        <f t="shared" si="53"/>
        <v>360</v>
      </c>
      <c r="DI17" s="16"/>
      <c r="DJ17" s="15"/>
      <c r="DK17" s="15">
        <f t="shared" si="54"/>
        <v>0</v>
      </c>
      <c r="DL17" s="15">
        <f t="shared" si="55"/>
        <v>0</v>
      </c>
      <c r="DM17" s="16"/>
      <c r="DN17" s="15"/>
      <c r="DO17" s="15">
        <f t="shared" si="56"/>
        <v>0</v>
      </c>
      <c r="DP17" s="15">
        <f t="shared" si="57"/>
        <v>0</v>
      </c>
      <c r="DQ17" s="16"/>
      <c r="DR17" s="15"/>
      <c r="DS17" s="15">
        <f t="shared" si="58"/>
        <v>0</v>
      </c>
      <c r="DT17" s="15">
        <f t="shared" si="59"/>
        <v>0</v>
      </c>
      <c r="DU17" s="16"/>
      <c r="DV17" s="15"/>
      <c r="DW17" s="15"/>
      <c r="DX17" s="15">
        <f t="shared" si="60"/>
        <v>0</v>
      </c>
      <c r="DZ17" s="15">
        <f t="shared" si="61"/>
        <v>60</v>
      </c>
      <c r="EA17" s="15">
        <f t="shared" si="62"/>
        <v>22</v>
      </c>
    </row>
    <row r="18" spans="1:131" s="14" customFormat="1" x14ac:dyDescent="0.2">
      <c r="A18" s="15">
        <v>15</v>
      </c>
      <c r="B18" s="14" t="s">
        <v>42</v>
      </c>
      <c r="C18" s="15">
        <v>0</v>
      </c>
      <c r="D18" s="15">
        <v>1</v>
      </c>
      <c r="E18" s="16"/>
      <c r="F18" s="15">
        <v>8</v>
      </c>
      <c r="G18" s="15">
        <f t="shared" si="0"/>
        <v>0</v>
      </c>
      <c r="H18" s="15">
        <f t="shared" si="1"/>
        <v>48</v>
      </c>
      <c r="I18" s="16"/>
      <c r="J18" s="15">
        <v>13</v>
      </c>
      <c r="K18" s="15">
        <f t="shared" si="2"/>
        <v>0</v>
      </c>
      <c r="L18" s="15">
        <f t="shared" si="3"/>
        <v>78</v>
      </c>
      <c r="M18" s="16"/>
      <c r="N18" s="15">
        <v>8</v>
      </c>
      <c r="O18" s="15">
        <f t="shared" si="4"/>
        <v>0</v>
      </c>
      <c r="P18" s="15">
        <f t="shared" si="5"/>
        <v>48</v>
      </c>
      <c r="Q18" s="16"/>
      <c r="R18" s="15">
        <v>7</v>
      </c>
      <c r="S18" s="15">
        <f t="shared" si="6"/>
        <v>0</v>
      </c>
      <c r="T18" s="15">
        <f t="shared" si="7"/>
        <v>42</v>
      </c>
      <c r="U18" s="16"/>
      <c r="V18" s="15">
        <v>8</v>
      </c>
      <c r="W18" s="15">
        <f t="shared" si="8"/>
        <v>0</v>
      </c>
      <c r="X18" s="15">
        <f t="shared" si="9"/>
        <v>48</v>
      </c>
      <c r="Y18" s="16"/>
      <c r="Z18" s="15">
        <v>10</v>
      </c>
      <c r="AA18" s="15">
        <f t="shared" si="10"/>
        <v>0</v>
      </c>
      <c r="AB18" s="15">
        <f t="shared" si="11"/>
        <v>60</v>
      </c>
      <c r="AC18" s="16"/>
      <c r="AD18" s="15">
        <v>2</v>
      </c>
      <c r="AE18" s="15">
        <f t="shared" si="12"/>
        <v>0</v>
      </c>
      <c r="AF18" s="15">
        <f t="shared" si="13"/>
        <v>12</v>
      </c>
      <c r="AG18" s="16"/>
      <c r="AH18" s="15">
        <v>6</v>
      </c>
      <c r="AI18" s="15">
        <f t="shared" si="14"/>
        <v>0</v>
      </c>
      <c r="AJ18" s="15">
        <f t="shared" si="15"/>
        <v>36</v>
      </c>
      <c r="AK18" s="16"/>
      <c r="AL18" s="15">
        <v>5</v>
      </c>
      <c r="AM18" s="15">
        <f t="shared" si="16"/>
        <v>0</v>
      </c>
      <c r="AN18" s="15">
        <f t="shared" si="17"/>
        <v>30</v>
      </c>
      <c r="AO18" s="16"/>
      <c r="AP18" s="15">
        <v>5</v>
      </c>
      <c r="AQ18" s="15">
        <f t="shared" si="18"/>
        <v>0</v>
      </c>
      <c r="AR18" s="15">
        <f t="shared" si="19"/>
        <v>30</v>
      </c>
      <c r="AS18" s="16"/>
      <c r="AT18" s="15">
        <v>16</v>
      </c>
      <c r="AU18" s="15">
        <f t="shared" si="20"/>
        <v>0</v>
      </c>
      <c r="AV18" s="15">
        <f t="shared" si="21"/>
        <v>96</v>
      </c>
      <c r="AW18" s="16"/>
      <c r="AX18" s="15">
        <v>2</v>
      </c>
      <c r="AY18" s="15">
        <f t="shared" si="22"/>
        <v>0</v>
      </c>
      <c r="AZ18" s="15">
        <f t="shared" si="23"/>
        <v>12</v>
      </c>
      <c r="BA18" s="16"/>
      <c r="BB18" s="15">
        <v>7</v>
      </c>
      <c r="BC18" s="15">
        <f t="shared" si="24"/>
        <v>0</v>
      </c>
      <c r="BD18" s="15">
        <f t="shared" si="25"/>
        <v>42</v>
      </c>
      <c r="BE18" s="16"/>
      <c r="BF18" s="15">
        <v>4</v>
      </c>
      <c r="BG18" s="15">
        <f t="shared" si="26"/>
        <v>0</v>
      </c>
      <c r="BH18" s="15">
        <f t="shared" si="27"/>
        <v>24</v>
      </c>
      <c r="BI18" s="16"/>
      <c r="BJ18" s="15">
        <v>7</v>
      </c>
      <c r="BK18" s="15">
        <f t="shared" si="28"/>
        <v>0</v>
      </c>
      <c r="BL18" s="15">
        <f t="shared" si="29"/>
        <v>42</v>
      </c>
      <c r="BM18" s="16"/>
      <c r="BN18" s="15">
        <v>11</v>
      </c>
      <c r="BO18" s="15">
        <f t="shared" si="30"/>
        <v>0</v>
      </c>
      <c r="BP18" s="15">
        <f t="shared" si="31"/>
        <v>66</v>
      </c>
      <c r="BQ18" s="16"/>
      <c r="BR18" s="15">
        <v>24</v>
      </c>
      <c r="BS18" s="15">
        <f t="shared" si="32"/>
        <v>0</v>
      </c>
      <c r="BT18" s="15">
        <f t="shared" si="33"/>
        <v>144</v>
      </c>
      <c r="BU18" s="16"/>
      <c r="BV18" s="15">
        <v>8</v>
      </c>
      <c r="BW18" s="15">
        <f t="shared" si="34"/>
        <v>0</v>
      </c>
      <c r="BX18" s="15">
        <f t="shared" si="35"/>
        <v>48</v>
      </c>
      <c r="BY18" s="16"/>
      <c r="BZ18" s="15">
        <v>6</v>
      </c>
      <c r="CA18" s="15">
        <f t="shared" si="36"/>
        <v>0</v>
      </c>
      <c r="CB18" s="15">
        <f t="shared" si="37"/>
        <v>36</v>
      </c>
      <c r="CC18" s="16"/>
      <c r="CD18" s="15">
        <v>5</v>
      </c>
      <c r="CE18" s="15">
        <f t="shared" si="38"/>
        <v>0</v>
      </c>
      <c r="CF18" s="15">
        <f t="shared" si="39"/>
        <v>30</v>
      </c>
      <c r="CG18" s="16"/>
      <c r="CH18" s="15">
        <v>17</v>
      </c>
      <c r="CI18" s="15">
        <f t="shared" si="40"/>
        <v>0</v>
      </c>
      <c r="CJ18" s="15">
        <f t="shared" si="41"/>
        <v>102</v>
      </c>
      <c r="CK18" s="16"/>
      <c r="CL18" s="15">
        <v>6</v>
      </c>
      <c r="CM18" s="15">
        <f t="shared" si="42"/>
        <v>0</v>
      </c>
      <c r="CN18" s="15">
        <f t="shared" si="43"/>
        <v>36</v>
      </c>
      <c r="CO18" s="16"/>
      <c r="CP18" s="15">
        <v>8</v>
      </c>
      <c r="CQ18" s="15">
        <f t="shared" si="44"/>
        <v>0</v>
      </c>
      <c r="CR18" s="15">
        <f t="shared" si="45"/>
        <v>48</v>
      </c>
      <c r="CS18" s="16"/>
      <c r="CT18" s="15">
        <v>13</v>
      </c>
      <c r="CU18" s="15">
        <f t="shared" si="46"/>
        <v>0</v>
      </c>
      <c r="CV18" s="15">
        <f t="shared" si="47"/>
        <v>78</v>
      </c>
      <c r="CW18" s="16"/>
      <c r="CX18" s="15">
        <v>5</v>
      </c>
      <c r="CY18" s="15">
        <f t="shared" si="48"/>
        <v>0</v>
      </c>
      <c r="CZ18" s="15">
        <f t="shared" si="49"/>
        <v>30</v>
      </c>
      <c r="DA18" s="16"/>
      <c r="DB18" s="15">
        <v>8</v>
      </c>
      <c r="DC18" s="15">
        <f t="shared" si="50"/>
        <v>0</v>
      </c>
      <c r="DD18" s="15">
        <f t="shared" si="51"/>
        <v>48</v>
      </c>
      <c r="DE18" s="16"/>
      <c r="DF18" s="15">
        <v>5</v>
      </c>
      <c r="DG18" s="15">
        <f t="shared" si="52"/>
        <v>0</v>
      </c>
      <c r="DH18" s="15">
        <f t="shared" si="53"/>
        <v>30</v>
      </c>
      <c r="DI18" s="16"/>
      <c r="DJ18" s="15"/>
      <c r="DK18" s="15">
        <f t="shared" si="54"/>
        <v>0</v>
      </c>
      <c r="DL18" s="15">
        <f t="shared" si="55"/>
        <v>0</v>
      </c>
      <c r="DM18" s="16"/>
      <c r="DN18" s="15"/>
      <c r="DO18" s="15">
        <f t="shared" si="56"/>
        <v>0</v>
      </c>
      <c r="DP18" s="15">
        <f t="shared" si="57"/>
        <v>0</v>
      </c>
      <c r="DQ18" s="16"/>
      <c r="DR18" s="15"/>
      <c r="DS18" s="15">
        <f t="shared" si="58"/>
        <v>0</v>
      </c>
      <c r="DT18" s="15">
        <f t="shared" si="59"/>
        <v>0</v>
      </c>
      <c r="DU18" s="16"/>
      <c r="DV18" s="15"/>
      <c r="DW18" s="15"/>
      <c r="DX18" s="15">
        <f t="shared" si="60"/>
        <v>0</v>
      </c>
      <c r="DZ18" s="15">
        <f t="shared" si="61"/>
        <v>24</v>
      </c>
      <c r="EA18" s="15">
        <f t="shared" si="62"/>
        <v>2</v>
      </c>
    </row>
    <row r="19" spans="1:131" s="10" customFormat="1" x14ac:dyDescent="0.2">
      <c r="A19" s="9"/>
      <c r="B19" s="10" t="s">
        <v>43</v>
      </c>
      <c r="C19" s="9"/>
      <c r="D19" s="9"/>
      <c r="E19" s="12"/>
      <c r="F19" s="9">
        <f>SUM(F3:F18)</f>
        <v>518</v>
      </c>
      <c r="G19" s="9">
        <f>SUM(G3:G18)</f>
        <v>0</v>
      </c>
      <c r="H19" s="9">
        <f>SUM(H3:H18)</f>
        <v>3108</v>
      </c>
      <c r="I19" s="12"/>
      <c r="J19" s="9">
        <f>SUM(J3:J18)</f>
        <v>520</v>
      </c>
      <c r="K19" s="9">
        <f>SUM(K3:K18)</f>
        <v>0</v>
      </c>
      <c r="L19" s="9">
        <f>SUM(L3:L18)</f>
        <v>3120</v>
      </c>
      <c r="M19" s="12"/>
      <c r="N19" s="9">
        <f>SUM(N3:N18)</f>
        <v>526</v>
      </c>
      <c r="O19" s="9">
        <f>SUM(O3:O18)</f>
        <v>0</v>
      </c>
      <c r="P19" s="9">
        <f>SUM(P3:P18)</f>
        <v>3156</v>
      </c>
      <c r="Q19" s="12"/>
      <c r="R19" s="9">
        <f>SUM(R3:R18)</f>
        <v>534</v>
      </c>
      <c r="S19" s="9">
        <f>SUM(S3:S18)</f>
        <v>0</v>
      </c>
      <c r="T19" s="9">
        <f>SUM(T3:T18)</f>
        <v>3204</v>
      </c>
      <c r="U19" s="12"/>
      <c r="V19" s="9">
        <f>SUM(V3:V18)</f>
        <v>543</v>
      </c>
      <c r="W19" s="9">
        <f>SUM(W3:W18)</f>
        <v>0</v>
      </c>
      <c r="X19" s="9">
        <f>SUM(X3:X18)</f>
        <v>3258</v>
      </c>
      <c r="Y19" s="12"/>
      <c r="Z19" s="9">
        <f>SUM(Z3:Z18)</f>
        <v>430</v>
      </c>
      <c r="AA19" s="9">
        <f>SUM(AA3:AA18)</f>
        <v>0</v>
      </c>
      <c r="AB19" s="9">
        <f>SUM(AB3:AB18)</f>
        <v>2580</v>
      </c>
      <c r="AC19" s="12"/>
      <c r="AD19" s="9">
        <f>SUM(AD3:AD18)</f>
        <v>505</v>
      </c>
      <c r="AE19" s="9">
        <f>SUM(AE3:AE18)</f>
        <v>0</v>
      </c>
      <c r="AF19" s="9">
        <f>SUM(AF3:AF18)</f>
        <v>3030</v>
      </c>
      <c r="AG19" s="12"/>
      <c r="AH19" s="9">
        <f>SUM(AH3:AH18)</f>
        <v>522</v>
      </c>
      <c r="AI19" s="9">
        <f>SUM(AI3:AI18)</f>
        <v>0</v>
      </c>
      <c r="AJ19" s="9">
        <f>SUM(AJ3:AJ18)</f>
        <v>3132</v>
      </c>
      <c r="AK19" s="12"/>
      <c r="AL19" s="9">
        <f>SUM(AL3:AL18)</f>
        <v>511</v>
      </c>
      <c r="AM19" s="9">
        <f>SUM(AM3:AM18)</f>
        <v>0</v>
      </c>
      <c r="AN19" s="9">
        <f>SUM(AN3:AN18)</f>
        <v>3066</v>
      </c>
      <c r="AO19" s="12"/>
      <c r="AP19" s="9">
        <f>SUM(AP3:AP18)</f>
        <v>522</v>
      </c>
      <c r="AQ19" s="9">
        <f>SUM(AQ3:AQ18)</f>
        <v>0</v>
      </c>
      <c r="AR19" s="9">
        <f>SUM(AR3:AR18)</f>
        <v>3132</v>
      </c>
      <c r="AS19" s="12"/>
      <c r="AT19" s="9">
        <f>SUM(AT3:AT18)</f>
        <v>486</v>
      </c>
      <c r="AU19" s="9">
        <f>SUM(AU3:AU18)</f>
        <v>0</v>
      </c>
      <c r="AV19" s="9">
        <f>SUM(AV3:AV18)</f>
        <v>2916</v>
      </c>
      <c r="AW19" s="12"/>
      <c r="AX19" s="9">
        <f>SUM(AX3:AX18)</f>
        <v>520</v>
      </c>
      <c r="AY19" s="9">
        <f>SUM(AY3:AY18)</f>
        <v>0</v>
      </c>
      <c r="AZ19" s="9">
        <f>SUM(AZ3:AZ18)</f>
        <v>3120</v>
      </c>
      <c r="BA19" s="12"/>
      <c r="BB19" s="9">
        <f>SUM(BB3:BB18)</f>
        <v>532</v>
      </c>
      <c r="BC19" s="9">
        <f>SUM(BC3:BC18)</f>
        <v>0</v>
      </c>
      <c r="BD19" s="9">
        <f>SUM(BD3:BD18)</f>
        <v>3192</v>
      </c>
      <c r="BE19" s="12"/>
      <c r="BF19" s="9">
        <f>SUM(BF3:BF18)</f>
        <v>530</v>
      </c>
      <c r="BG19" s="9">
        <f>SUM(BG3:BG18)</f>
        <v>0</v>
      </c>
      <c r="BH19" s="9">
        <f>SUM(BH3:BH18)</f>
        <v>3180</v>
      </c>
      <c r="BI19" s="12"/>
      <c r="BJ19" s="9">
        <f>SUM(BJ3:BJ18)</f>
        <v>541</v>
      </c>
      <c r="BK19" s="9">
        <f>SUM(BK3:BK18)</f>
        <v>0</v>
      </c>
      <c r="BL19" s="9">
        <f>SUM(BL3:BL18)</f>
        <v>3246</v>
      </c>
      <c r="BM19" s="12"/>
      <c r="BN19" s="9">
        <f>SUM(BN3:BN18)</f>
        <v>543</v>
      </c>
      <c r="BO19" s="9">
        <f>SUM(BO3:BO18)</f>
        <v>0</v>
      </c>
      <c r="BP19" s="9">
        <f>SUM(BP3:BP18)</f>
        <v>3258</v>
      </c>
      <c r="BQ19" s="12"/>
      <c r="BR19" s="9">
        <f>SUM(BR3:BR18)</f>
        <v>515</v>
      </c>
      <c r="BS19" s="9">
        <f>SUM(BS3:BS18)</f>
        <v>0</v>
      </c>
      <c r="BT19" s="9">
        <f>SUM(BT3:BT18)</f>
        <v>3090</v>
      </c>
      <c r="BU19" s="12"/>
      <c r="BV19" s="9">
        <f>SUM(BV3:BV18)</f>
        <v>421</v>
      </c>
      <c r="BW19" s="9">
        <f>SUM(BW3:BW18)</f>
        <v>0</v>
      </c>
      <c r="BX19" s="9">
        <f>SUM(BX3:BX18)</f>
        <v>2526</v>
      </c>
      <c r="BY19" s="12"/>
      <c r="BZ19" s="9">
        <f>SUM(BZ3:BZ18)</f>
        <v>552</v>
      </c>
      <c r="CA19" s="9">
        <f>SUM(CA3:CA18)</f>
        <v>0</v>
      </c>
      <c r="CB19" s="9">
        <f>SUM(CB3:CB18)</f>
        <v>3312</v>
      </c>
      <c r="CC19" s="12"/>
      <c r="CD19" s="9">
        <f>SUM(CD3:CD18)</f>
        <v>497</v>
      </c>
      <c r="CE19" s="9">
        <f>SUM(CE3:CE18)</f>
        <v>0</v>
      </c>
      <c r="CF19" s="9">
        <f>SUM(CF3:CF18)</f>
        <v>2982</v>
      </c>
      <c r="CG19" s="12"/>
      <c r="CH19" s="9">
        <f>SUM(CH3:CH18)</f>
        <v>521</v>
      </c>
      <c r="CI19" s="9">
        <f>SUM(CI3:CI18)</f>
        <v>0</v>
      </c>
      <c r="CJ19" s="9">
        <f>SUM(CJ3:CJ18)</f>
        <v>3126</v>
      </c>
      <c r="CK19" s="12"/>
      <c r="CL19" s="9">
        <f>SUM(CL3:CL18)</f>
        <v>498</v>
      </c>
      <c r="CM19" s="9">
        <f>SUM(CM3:CM18)</f>
        <v>0</v>
      </c>
      <c r="CN19" s="9">
        <f>SUM(CN3:CN18)</f>
        <v>2988</v>
      </c>
      <c r="CO19" s="12"/>
      <c r="CP19" s="9">
        <f>SUM(CP3:CP18)</f>
        <v>500</v>
      </c>
      <c r="CQ19" s="9">
        <f>SUM(CQ3:CQ18)</f>
        <v>0</v>
      </c>
      <c r="CR19" s="9">
        <f>SUM(CR3:CR18)</f>
        <v>3000</v>
      </c>
      <c r="CS19" s="12"/>
      <c r="CT19" s="9">
        <f>SUM(CT3:CT18)</f>
        <v>517</v>
      </c>
      <c r="CU19" s="9">
        <f>SUM(CU3:CU18)</f>
        <v>0</v>
      </c>
      <c r="CV19" s="9">
        <f>SUM(CV3:CV18)</f>
        <v>3102</v>
      </c>
      <c r="CW19" s="12"/>
      <c r="CX19" s="9">
        <f>SUM(CX3:CX18)</f>
        <v>509</v>
      </c>
      <c r="CY19" s="9">
        <f>SUM(CY3:CY18)</f>
        <v>0</v>
      </c>
      <c r="CZ19" s="9">
        <f>SUM(CZ3:CZ18)</f>
        <v>3054</v>
      </c>
      <c r="DA19" s="12"/>
      <c r="DB19" s="9">
        <f>SUM(DB3:DB18)</f>
        <v>513</v>
      </c>
      <c r="DC19" s="9">
        <f>SUM(DC3:DC18)</f>
        <v>0</v>
      </c>
      <c r="DD19" s="9">
        <f>SUM(DD3:DD18)</f>
        <v>3078</v>
      </c>
      <c r="DE19" s="12"/>
      <c r="DF19" s="9">
        <f>SUM(DF3:DF18)</f>
        <v>523</v>
      </c>
      <c r="DG19" s="9">
        <f>SUM(DG3:DG18)</f>
        <v>0</v>
      </c>
      <c r="DH19" s="9">
        <f>SUM(DH3:DH18)</f>
        <v>3138</v>
      </c>
      <c r="DI19" s="12"/>
      <c r="DJ19" s="9">
        <f>SUM(DJ3:DJ18)</f>
        <v>0</v>
      </c>
      <c r="DK19" s="9">
        <f>SUM(DK3:DK18)</f>
        <v>0</v>
      </c>
      <c r="DL19" s="9">
        <f>SUM(DL3:DL18)</f>
        <v>0</v>
      </c>
      <c r="DM19" s="12"/>
      <c r="DN19" s="9">
        <f>SUM(DN3:DN18)</f>
        <v>0</v>
      </c>
      <c r="DO19" s="9">
        <f>SUM(DO3:DO18)</f>
        <v>0</v>
      </c>
      <c r="DP19" s="9">
        <f>SUM(DP3:DP18)</f>
        <v>0</v>
      </c>
      <c r="DQ19" s="12"/>
      <c r="DR19" s="9">
        <f>SUM(DR3:DR18)</f>
        <v>0</v>
      </c>
      <c r="DS19" s="9">
        <f>SUM(DS3:DS18)</f>
        <v>0</v>
      </c>
      <c r="DT19" s="9">
        <f>SUM(DT3:DT18)</f>
        <v>0</v>
      </c>
      <c r="DU19" s="12"/>
      <c r="DV19" s="9"/>
      <c r="DW19" s="9"/>
      <c r="DX19" s="9"/>
      <c r="DZ19" s="9"/>
      <c r="EA19" s="9"/>
    </row>
    <row r="20" spans="1:131" x14ac:dyDescent="0.2">
      <c r="A20" s="5"/>
      <c r="E20" s="12"/>
      <c r="I20" s="12"/>
      <c r="M20" s="12"/>
      <c r="Q20" s="12"/>
      <c r="R20" s="5"/>
      <c r="S20" s="5"/>
      <c r="T20" s="5"/>
      <c r="U20" s="12"/>
      <c r="V20" s="5"/>
      <c r="W20" s="5"/>
      <c r="X20" s="5"/>
      <c r="Y20" s="12"/>
      <c r="Z20" s="5"/>
      <c r="AA20" s="5"/>
      <c r="AB20" s="5"/>
      <c r="AC20" s="12"/>
      <c r="AD20" s="5"/>
      <c r="AE20" s="5"/>
      <c r="AF20" s="5"/>
      <c r="AG20" s="12"/>
      <c r="AH20" s="5"/>
      <c r="AI20" s="5"/>
      <c r="AJ20" s="5"/>
      <c r="AK20" s="12"/>
      <c r="AL20" s="5"/>
      <c r="AM20" s="5"/>
      <c r="AN20" s="5"/>
      <c r="AO20" s="12"/>
      <c r="AP20" s="5"/>
      <c r="AQ20" s="5"/>
      <c r="AR20" s="5"/>
      <c r="AS20" s="12"/>
      <c r="AT20" s="5"/>
      <c r="AU20" s="5"/>
      <c r="AV20" s="5"/>
      <c r="AW20" s="12"/>
      <c r="AX20" s="5"/>
      <c r="AY20" s="5"/>
      <c r="AZ20" s="5"/>
      <c r="BA20" s="12"/>
      <c r="BB20" s="5"/>
      <c r="BC20" s="5"/>
      <c r="BD20" s="5"/>
      <c r="BE20" s="12"/>
      <c r="BF20" s="5"/>
      <c r="BG20" s="5"/>
      <c r="BH20" s="5"/>
      <c r="BI20" s="12"/>
      <c r="BJ20" s="5"/>
      <c r="BK20" s="5"/>
      <c r="BL20" s="5"/>
      <c r="BM20" s="12"/>
      <c r="BN20" s="5"/>
      <c r="BO20" s="5"/>
      <c r="BP20" s="5"/>
      <c r="BQ20" s="12"/>
      <c r="BR20" s="5"/>
      <c r="BS20" s="5"/>
      <c r="BT20" s="5"/>
      <c r="BU20" s="12"/>
      <c r="BV20" s="5"/>
      <c r="BW20" s="5"/>
      <c r="BX20" s="5"/>
      <c r="BY20" s="12"/>
      <c r="BZ20" s="5"/>
      <c r="CA20" s="5"/>
      <c r="CB20" s="5"/>
      <c r="CC20" s="12"/>
      <c r="CD20" s="5"/>
      <c r="CE20" s="5"/>
      <c r="CF20" s="5"/>
      <c r="CG20" s="12"/>
      <c r="CH20" s="5"/>
      <c r="CI20" s="5"/>
      <c r="CJ20" s="5"/>
      <c r="CK20" s="12"/>
      <c r="CL20" s="5"/>
      <c r="CM20" s="5"/>
      <c r="CN20" s="5"/>
      <c r="CO20" s="12"/>
      <c r="CP20" s="5"/>
      <c r="CQ20" s="5"/>
      <c r="CR20" s="5"/>
      <c r="CS20" s="12"/>
      <c r="CT20" s="5"/>
      <c r="CU20" s="5"/>
      <c r="CV20" s="5"/>
      <c r="CW20" s="12"/>
      <c r="CX20" s="5"/>
      <c r="CY20" s="5"/>
      <c r="CZ20" s="5"/>
      <c r="DA20" s="12"/>
      <c r="DB20" s="5"/>
      <c r="DC20" s="5"/>
      <c r="DD20" s="5"/>
      <c r="DE20" s="12"/>
      <c r="DF20" s="5"/>
      <c r="DG20" s="5"/>
      <c r="DH20" s="5"/>
      <c r="DI20" s="12"/>
      <c r="DJ20" s="5"/>
      <c r="DK20" s="5"/>
      <c r="DL20" s="5"/>
      <c r="DM20" s="12"/>
      <c r="DN20" s="5"/>
      <c r="DO20" s="5"/>
      <c r="DP20" s="5"/>
      <c r="DQ20" s="12"/>
      <c r="DR20" s="5"/>
      <c r="DS20" s="5"/>
      <c r="DT20" s="5"/>
      <c r="DU20" s="12"/>
      <c r="DX20" s="5"/>
      <c r="DZ20" s="5"/>
      <c r="EA20" s="5"/>
    </row>
    <row r="21" spans="1:131" s="14" customFormat="1" x14ac:dyDescent="0.2">
      <c r="A21" s="15">
        <v>1</v>
      </c>
      <c r="B21" s="14" t="s">
        <v>44</v>
      </c>
      <c r="C21" s="15">
        <v>0</v>
      </c>
      <c r="D21" s="15">
        <v>1</v>
      </c>
      <c r="E21" s="16"/>
      <c r="F21" s="15">
        <v>62</v>
      </c>
      <c r="G21" s="15">
        <f t="shared" ref="G21:G36" si="63">$C21*F21</f>
        <v>0</v>
      </c>
      <c r="H21" s="15">
        <f t="shared" ref="H21:H36" si="64">$D21*(6-$C21)*F21</f>
        <v>372</v>
      </c>
      <c r="I21" s="16"/>
      <c r="J21" s="15">
        <v>61</v>
      </c>
      <c r="K21" s="15">
        <f t="shared" ref="K21:K36" si="65">$C21*J21</f>
        <v>0</v>
      </c>
      <c r="L21" s="15">
        <f t="shared" ref="L21:L36" si="66">$D21*(6-$C21)*J21</f>
        <v>366</v>
      </c>
      <c r="M21" s="16"/>
      <c r="N21" s="15">
        <v>61</v>
      </c>
      <c r="O21" s="15">
        <f t="shared" ref="O21:O36" si="67">$C21*N21</f>
        <v>0</v>
      </c>
      <c r="P21" s="15">
        <f t="shared" ref="P21:P36" si="68">$D21*(6-$C21)*N21</f>
        <v>366</v>
      </c>
      <c r="Q21" s="16"/>
      <c r="R21" s="15">
        <v>60</v>
      </c>
      <c r="S21" s="15">
        <f t="shared" ref="S21:S36" si="69">$C21*R21</f>
        <v>0</v>
      </c>
      <c r="T21" s="15">
        <f t="shared" ref="T21:T36" si="70">$D21*(6-$C21)*R21</f>
        <v>360</v>
      </c>
      <c r="U21" s="16"/>
      <c r="V21" s="15">
        <v>59</v>
      </c>
      <c r="W21" s="15">
        <f t="shared" ref="W21:W36" si="71">$C21*V21</f>
        <v>0</v>
      </c>
      <c r="X21" s="15">
        <f t="shared" ref="X21:X36" si="72">$D21*(6-$C21)*V21</f>
        <v>354</v>
      </c>
      <c r="Y21" s="16"/>
      <c r="Z21" s="15">
        <v>60</v>
      </c>
      <c r="AA21" s="15">
        <f t="shared" ref="AA21:AA36" si="73">$C21*Z21</f>
        <v>0</v>
      </c>
      <c r="AB21" s="15">
        <f t="shared" ref="AB21:AB36" si="74">$D21*(6-$C21)*Z21</f>
        <v>360</v>
      </c>
      <c r="AC21" s="16"/>
      <c r="AD21" s="15">
        <v>59</v>
      </c>
      <c r="AE21" s="15">
        <f t="shared" ref="AE21:AE36" si="75">$C21*AD21</f>
        <v>0</v>
      </c>
      <c r="AF21" s="15">
        <f t="shared" ref="AF21:AF36" si="76">$D21*(6-$C21)*AD21</f>
        <v>354</v>
      </c>
      <c r="AG21" s="16"/>
      <c r="AH21" s="15">
        <v>61</v>
      </c>
      <c r="AI21" s="15">
        <f t="shared" ref="AI21:AI36" si="77">$C21*AH21</f>
        <v>0</v>
      </c>
      <c r="AJ21" s="15">
        <f t="shared" ref="AJ21:AJ36" si="78">$D21*(6-$C21)*AH21</f>
        <v>366</v>
      </c>
      <c r="AK21" s="16"/>
      <c r="AL21" s="15">
        <v>62</v>
      </c>
      <c r="AM21" s="15">
        <f t="shared" ref="AM21:AM36" si="79">$C21*AL21</f>
        <v>0</v>
      </c>
      <c r="AN21" s="15">
        <f t="shared" ref="AN21:AN36" si="80">$D21*(6-$C21)*AL21</f>
        <v>372</v>
      </c>
      <c r="AO21" s="16"/>
      <c r="AP21" s="15">
        <v>61</v>
      </c>
      <c r="AQ21" s="15">
        <f t="shared" ref="AQ21:AQ36" si="81">$C21*AP21</f>
        <v>0</v>
      </c>
      <c r="AR21" s="15">
        <f t="shared" ref="AR21:AR36" si="82">$D21*(6-$C21)*AP21</f>
        <v>366</v>
      </c>
      <c r="AS21" s="16"/>
      <c r="AT21" s="15">
        <v>64</v>
      </c>
      <c r="AU21" s="15">
        <f t="shared" ref="AU21:AU36" si="83">$C21*AT21</f>
        <v>0</v>
      </c>
      <c r="AV21" s="15">
        <f t="shared" ref="AV21:AV36" si="84">$D21*(6-$C21)*AT21</f>
        <v>384</v>
      </c>
      <c r="AW21" s="16"/>
      <c r="AX21" s="15">
        <v>58</v>
      </c>
      <c r="AY21" s="15">
        <f t="shared" ref="AY21:AY36" si="85">$C21*AX21</f>
        <v>0</v>
      </c>
      <c r="AZ21" s="15">
        <f t="shared" ref="AZ21:AZ36" si="86">$D21*(6-$C21)*AX21</f>
        <v>348</v>
      </c>
      <c r="BA21" s="16"/>
      <c r="BB21" s="15">
        <v>62</v>
      </c>
      <c r="BC21" s="15">
        <f t="shared" ref="BC21:BC36" si="87">$C21*BB21</f>
        <v>0</v>
      </c>
      <c r="BD21" s="15">
        <f t="shared" ref="BD21:BD36" si="88">$D21*(6-$C21)*BB21</f>
        <v>372</v>
      </c>
      <c r="BE21" s="16"/>
      <c r="BF21" s="15">
        <v>61</v>
      </c>
      <c r="BG21" s="15">
        <f t="shared" ref="BG21:BG36" si="89">$C21*BF21</f>
        <v>0</v>
      </c>
      <c r="BH21" s="15">
        <f t="shared" ref="BH21:BH36" si="90">$D21*(6-$C21)*BF21</f>
        <v>366</v>
      </c>
      <c r="BI21" s="16"/>
      <c r="BJ21" s="15">
        <v>62</v>
      </c>
      <c r="BK21" s="15">
        <f t="shared" ref="BK21:BK36" si="91">$C21*BJ21</f>
        <v>0</v>
      </c>
      <c r="BL21" s="15">
        <f t="shared" ref="BL21:BL36" si="92">$D21*(6-$C21)*BJ21</f>
        <v>372</v>
      </c>
      <c r="BM21" s="16"/>
      <c r="BN21" s="15">
        <v>61</v>
      </c>
      <c r="BO21" s="15">
        <f t="shared" ref="BO21:BO36" si="93">$C21*BN21</f>
        <v>0</v>
      </c>
      <c r="BP21" s="15">
        <f t="shared" ref="BP21:BP36" si="94">$D21*(6-$C21)*BN21</f>
        <v>366</v>
      </c>
      <c r="BQ21" s="16"/>
      <c r="BR21" s="15">
        <v>37</v>
      </c>
      <c r="BS21" s="15">
        <f t="shared" ref="BS21:BS36" si="95">$C21*BR21</f>
        <v>0</v>
      </c>
      <c r="BT21" s="15">
        <f t="shared" ref="BT21:BT36" si="96">$D21*(6-$C21)*BR21</f>
        <v>222</v>
      </c>
      <c r="BU21" s="16"/>
      <c r="BV21" s="15">
        <v>62</v>
      </c>
      <c r="BW21" s="15">
        <f t="shared" ref="BW21:BW36" si="97">$C21*BV21</f>
        <v>0</v>
      </c>
      <c r="BX21" s="15">
        <f t="shared" ref="BX21:BX36" si="98">$D21*(6-$C21)*BV21</f>
        <v>372</v>
      </c>
      <c r="BY21" s="16"/>
      <c r="BZ21" s="15">
        <v>61</v>
      </c>
      <c r="CA21" s="15">
        <f t="shared" ref="CA21:CA36" si="99">$C21*BZ21</f>
        <v>0</v>
      </c>
      <c r="CB21" s="15">
        <f t="shared" ref="CB21:CB36" si="100">$D21*(6-$C21)*BZ21</f>
        <v>366</v>
      </c>
      <c r="CC21" s="16"/>
      <c r="CD21" s="15">
        <v>59</v>
      </c>
      <c r="CE21" s="15">
        <f t="shared" ref="CE21:CE36" si="101">$C21*CD21</f>
        <v>0</v>
      </c>
      <c r="CF21" s="15">
        <f t="shared" ref="CF21:CF36" si="102">$D21*(6-$C21)*CD21</f>
        <v>354</v>
      </c>
      <c r="CG21" s="16"/>
      <c r="CH21" s="15">
        <v>62</v>
      </c>
      <c r="CI21" s="15">
        <f t="shared" ref="CI21:CI36" si="103">$C21*CH21</f>
        <v>0</v>
      </c>
      <c r="CJ21" s="15">
        <f t="shared" ref="CJ21:CJ36" si="104">$D21*(6-$C21)*CH21</f>
        <v>372</v>
      </c>
      <c r="CK21" s="16"/>
      <c r="CL21" s="15">
        <v>59</v>
      </c>
      <c r="CM21" s="15">
        <f t="shared" ref="CM21:CM36" si="105">$C21*CL21</f>
        <v>0</v>
      </c>
      <c r="CN21" s="15">
        <f t="shared" ref="CN21:CN36" si="106">$D21*(6-$C21)*CL21</f>
        <v>354</v>
      </c>
      <c r="CO21" s="16"/>
      <c r="CP21" s="15">
        <v>61</v>
      </c>
      <c r="CQ21" s="15">
        <f t="shared" ref="CQ21:CQ36" si="107">$C21*CP21</f>
        <v>0</v>
      </c>
      <c r="CR21" s="15">
        <f t="shared" ref="CR21:CR36" si="108">$D21*(6-$C21)*CP21</f>
        <v>366</v>
      </c>
      <c r="CS21" s="16"/>
      <c r="CT21" s="15">
        <v>53</v>
      </c>
      <c r="CU21" s="15">
        <f t="shared" ref="CU21:CU36" si="109">$C21*CT21</f>
        <v>0</v>
      </c>
      <c r="CV21" s="15">
        <f t="shared" ref="CV21:CV36" si="110">$D21*(6-$C21)*CT21</f>
        <v>318</v>
      </c>
      <c r="CW21" s="16"/>
      <c r="CX21" s="15">
        <v>58</v>
      </c>
      <c r="CY21" s="15">
        <f t="shared" ref="CY21:CY36" si="111">$C21*CX21</f>
        <v>0</v>
      </c>
      <c r="CZ21" s="15">
        <f t="shared" ref="CZ21:CZ36" si="112">$D21*(6-$C21)*CX21</f>
        <v>348</v>
      </c>
      <c r="DA21" s="16"/>
      <c r="DB21" s="15">
        <v>59</v>
      </c>
      <c r="DC21" s="15">
        <f t="shared" ref="DC21:DC36" si="113">$C21*DB21</f>
        <v>0</v>
      </c>
      <c r="DD21" s="15">
        <f t="shared" ref="DD21:DD36" si="114">$D21*(6-$C21)*DB21</f>
        <v>354</v>
      </c>
      <c r="DE21" s="16"/>
      <c r="DF21" s="15">
        <v>63</v>
      </c>
      <c r="DG21" s="15">
        <f t="shared" ref="DG21:DG36" si="115">$C21*DF21</f>
        <v>0</v>
      </c>
      <c r="DH21" s="15">
        <f t="shared" ref="DH21:DH36" si="116">$D21*(6-$C21)*DF21</f>
        <v>378</v>
      </c>
      <c r="DI21" s="16"/>
      <c r="DJ21" s="15"/>
      <c r="DK21" s="15">
        <f t="shared" ref="DK21:DK36" si="117">$C21*DJ21</f>
        <v>0</v>
      </c>
      <c r="DL21" s="15">
        <f t="shared" ref="DL21:DL36" si="118">$D21*(6-$C21)*DJ21</f>
        <v>0</v>
      </c>
      <c r="DM21" s="16"/>
      <c r="DN21" s="15"/>
      <c r="DO21" s="15">
        <f t="shared" ref="DO21:DO36" si="119">$C21*DN21</f>
        <v>0</v>
      </c>
      <c r="DP21" s="15">
        <f t="shared" ref="DP21:DP36" si="120">$D21*(6-$C21)*DN21</f>
        <v>0</v>
      </c>
      <c r="DQ21" s="16"/>
      <c r="DR21" s="15"/>
      <c r="DS21" s="15">
        <f t="shared" ref="DS21:DS36" si="121">$C21*DR21</f>
        <v>0</v>
      </c>
      <c r="DT21" s="15">
        <f t="shared" ref="DT21:DT36" si="122">$D21*(6-$C21)*DR21</f>
        <v>0</v>
      </c>
      <c r="DU21" s="16"/>
      <c r="DV21" s="15"/>
      <c r="DW21" s="15"/>
      <c r="DX21" s="15">
        <f t="shared" ref="DX21:DX36" si="123">A21*C21</f>
        <v>0</v>
      </c>
      <c r="DZ21" s="15">
        <f t="shared" ref="DZ21:DZ36" si="124">MAX($F21,$J21,$N21,$R21,$V21,$Z21,$AD21,$AH21,$AL21,$AP21,$AT21,$AX21,$BB21,$BF21,$BJ21,$BN21,$BR21,$BV21,$BZ21,$CD21,$CH21,$CL21,$CP21)</f>
        <v>64</v>
      </c>
      <c r="EA21" s="15">
        <f t="shared" ref="EA21:EA36" si="125">MIN($F21,$J21,$N21,$R21,$V21,$Z21,$AD21,$AH21,$AL21,$AP21,$AT21,$AX21,$BB21,$BF21,$BJ21,$BN21,$BR21,$BV21,$BZ21,$CD21,$CH21,$CL21,$CP21)</f>
        <v>37</v>
      </c>
    </row>
    <row r="22" spans="1:131" s="14" customFormat="1" x14ac:dyDescent="0.2">
      <c r="A22" s="15">
        <v>16</v>
      </c>
      <c r="B22" s="14" t="s">
        <v>45</v>
      </c>
      <c r="C22" s="15">
        <v>0</v>
      </c>
      <c r="D22" s="15">
        <v>1</v>
      </c>
      <c r="E22" s="16"/>
      <c r="F22" s="15">
        <v>2</v>
      </c>
      <c r="G22" s="15">
        <f t="shared" si="63"/>
        <v>0</v>
      </c>
      <c r="H22" s="15">
        <f t="shared" si="64"/>
        <v>12</v>
      </c>
      <c r="I22" s="16"/>
      <c r="J22" s="15">
        <v>3</v>
      </c>
      <c r="K22" s="15">
        <f t="shared" si="65"/>
        <v>0</v>
      </c>
      <c r="L22" s="15">
        <f t="shared" si="66"/>
        <v>18</v>
      </c>
      <c r="M22" s="16"/>
      <c r="N22" s="15">
        <v>1</v>
      </c>
      <c r="O22" s="15">
        <f t="shared" si="67"/>
        <v>0</v>
      </c>
      <c r="P22" s="15">
        <f t="shared" si="68"/>
        <v>6</v>
      </c>
      <c r="Q22" s="16"/>
      <c r="R22" s="15">
        <v>5</v>
      </c>
      <c r="S22" s="15">
        <f t="shared" si="69"/>
        <v>0</v>
      </c>
      <c r="T22" s="15">
        <f t="shared" si="70"/>
        <v>30</v>
      </c>
      <c r="U22" s="16"/>
      <c r="V22" s="15">
        <v>2</v>
      </c>
      <c r="W22" s="15">
        <f t="shared" si="71"/>
        <v>0</v>
      </c>
      <c r="X22" s="15">
        <f t="shared" si="72"/>
        <v>12</v>
      </c>
      <c r="Y22" s="16"/>
      <c r="Z22" s="15">
        <v>11</v>
      </c>
      <c r="AA22" s="15">
        <f t="shared" si="73"/>
        <v>0</v>
      </c>
      <c r="AB22" s="15">
        <f t="shared" si="74"/>
        <v>66</v>
      </c>
      <c r="AC22" s="16"/>
      <c r="AD22" s="15">
        <v>3</v>
      </c>
      <c r="AE22" s="15">
        <f t="shared" si="75"/>
        <v>0</v>
      </c>
      <c r="AF22" s="15">
        <f t="shared" si="76"/>
        <v>18</v>
      </c>
      <c r="AG22" s="16"/>
      <c r="AH22" s="15">
        <v>3</v>
      </c>
      <c r="AI22" s="15">
        <f t="shared" si="77"/>
        <v>0</v>
      </c>
      <c r="AJ22" s="15">
        <f t="shared" si="78"/>
        <v>18</v>
      </c>
      <c r="AK22" s="16"/>
      <c r="AL22" s="15">
        <v>3</v>
      </c>
      <c r="AM22" s="15">
        <f t="shared" si="79"/>
        <v>0</v>
      </c>
      <c r="AN22" s="15">
        <f t="shared" si="80"/>
        <v>18</v>
      </c>
      <c r="AO22" s="16"/>
      <c r="AP22" s="15">
        <v>2</v>
      </c>
      <c r="AQ22" s="15">
        <f t="shared" si="81"/>
        <v>0</v>
      </c>
      <c r="AR22" s="15">
        <f t="shared" si="82"/>
        <v>12</v>
      </c>
      <c r="AS22" s="16"/>
      <c r="AT22" s="15">
        <v>10</v>
      </c>
      <c r="AU22" s="15">
        <f t="shared" si="83"/>
        <v>0</v>
      </c>
      <c r="AV22" s="15">
        <f t="shared" si="84"/>
        <v>60</v>
      </c>
      <c r="AW22" s="16"/>
      <c r="AX22" s="15">
        <v>7</v>
      </c>
      <c r="AY22" s="15">
        <f t="shared" si="85"/>
        <v>0</v>
      </c>
      <c r="AZ22" s="15">
        <f t="shared" si="86"/>
        <v>42</v>
      </c>
      <c r="BA22" s="16"/>
      <c r="BB22" s="15">
        <v>2</v>
      </c>
      <c r="BC22" s="15">
        <f t="shared" si="87"/>
        <v>0</v>
      </c>
      <c r="BD22" s="15">
        <f t="shared" si="88"/>
        <v>12</v>
      </c>
      <c r="BE22" s="16"/>
      <c r="BF22" s="15">
        <v>1</v>
      </c>
      <c r="BG22" s="15">
        <f t="shared" si="89"/>
        <v>0</v>
      </c>
      <c r="BH22" s="15">
        <f t="shared" si="90"/>
        <v>6</v>
      </c>
      <c r="BI22" s="16"/>
      <c r="BJ22" s="15">
        <v>2</v>
      </c>
      <c r="BK22" s="15">
        <f t="shared" si="91"/>
        <v>0</v>
      </c>
      <c r="BL22" s="15">
        <f t="shared" si="92"/>
        <v>12</v>
      </c>
      <c r="BM22" s="16"/>
      <c r="BN22" s="15">
        <v>2</v>
      </c>
      <c r="BO22" s="15">
        <f t="shared" si="93"/>
        <v>0</v>
      </c>
      <c r="BP22" s="15">
        <f t="shared" si="94"/>
        <v>12</v>
      </c>
      <c r="BQ22" s="16"/>
      <c r="BR22" s="15">
        <v>5</v>
      </c>
      <c r="BS22" s="15">
        <f t="shared" si="95"/>
        <v>0</v>
      </c>
      <c r="BT22" s="15">
        <f t="shared" si="96"/>
        <v>30</v>
      </c>
      <c r="BU22" s="16"/>
      <c r="BV22" s="15">
        <v>9</v>
      </c>
      <c r="BW22" s="15">
        <f t="shared" si="97"/>
        <v>0</v>
      </c>
      <c r="BX22" s="15">
        <f t="shared" si="98"/>
        <v>54</v>
      </c>
      <c r="BY22" s="16"/>
      <c r="BZ22" s="15">
        <v>4</v>
      </c>
      <c r="CA22" s="15">
        <f t="shared" si="99"/>
        <v>0</v>
      </c>
      <c r="CB22" s="15">
        <f t="shared" si="100"/>
        <v>24</v>
      </c>
      <c r="CC22" s="16"/>
      <c r="CD22" s="15">
        <v>2</v>
      </c>
      <c r="CE22" s="15">
        <f t="shared" si="101"/>
        <v>0</v>
      </c>
      <c r="CF22" s="15">
        <f t="shared" si="102"/>
        <v>12</v>
      </c>
      <c r="CG22" s="16"/>
      <c r="CH22" s="15">
        <v>5</v>
      </c>
      <c r="CI22" s="15">
        <f t="shared" si="103"/>
        <v>0</v>
      </c>
      <c r="CJ22" s="15">
        <f t="shared" si="104"/>
        <v>30</v>
      </c>
      <c r="CK22" s="16"/>
      <c r="CL22" s="15">
        <v>7</v>
      </c>
      <c r="CM22" s="15">
        <f t="shared" si="105"/>
        <v>0</v>
      </c>
      <c r="CN22" s="15">
        <f t="shared" si="106"/>
        <v>42</v>
      </c>
      <c r="CO22" s="16"/>
      <c r="CP22" s="15">
        <v>1</v>
      </c>
      <c r="CQ22" s="15">
        <f t="shared" si="107"/>
        <v>0</v>
      </c>
      <c r="CR22" s="15">
        <f t="shared" si="108"/>
        <v>6</v>
      </c>
      <c r="CS22" s="16"/>
      <c r="CT22" s="15">
        <v>12</v>
      </c>
      <c r="CU22" s="15">
        <f t="shared" si="109"/>
        <v>0</v>
      </c>
      <c r="CV22" s="15">
        <f t="shared" si="110"/>
        <v>72</v>
      </c>
      <c r="CW22" s="16"/>
      <c r="CX22" s="15">
        <v>4</v>
      </c>
      <c r="CY22" s="15">
        <f t="shared" si="111"/>
        <v>0</v>
      </c>
      <c r="CZ22" s="15">
        <f t="shared" si="112"/>
        <v>24</v>
      </c>
      <c r="DA22" s="16"/>
      <c r="DB22" s="15">
        <v>2</v>
      </c>
      <c r="DC22" s="15">
        <f t="shared" si="113"/>
        <v>0</v>
      </c>
      <c r="DD22" s="15">
        <f t="shared" si="114"/>
        <v>12</v>
      </c>
      <c r="DE22" s="16"/>
      <c r="DF22" s="15">
        <v>2</v>
      </c>
      <c r="DG22" s="15">
        <f t="shared" si="115"/>
        <v>0</v>
      </c>
      <c r="DH22" s="15">
        <f t="shared" si="116"/>
        <v>12</v>
      </c>
      <c r="DI22" s="16"/>
      <c r="DJ22" s="15"/>
      <c r="DK22" s="15">
        <f t="shared" si="117"/>
        <v>0</v>
      </c>
      <c r="DL22" s="15">
        <f t="shared" si="118"/>
        <v>0</v>
      </c>
      <c r="DM22" s="16"/>
      <c r="DN22" s="15"/>
      <c r="DO22" s="15">
        <f t="shared" si="119"/>
        <v>0</v>
      </c>
      <c r="DP22" s="15">
        <f t="shared" si="120"/>
        <v>0</v>
      </c>
      <c r="DQ22" s="16"/>
      <c r="DR22" s="15"/>
      <c r="DS22" s="15">
        <f t="shared" si="121"/>
        <v>0</v>
      </c>
      <c r="DT22" s="15">
        <f t="shared" si="122"/>
        <v>0</v>
      </c>
      <c r="DU22" s="16"/>
      <c r="DV22" s="15"/>
      <c r="DW22" s="15"/>
      <c r="DX22" s="15">
        <f t="shared" si="123"/>
        <v>0</v>
      </c>
      <c r="DZ22" s="15">
        <f t="shared" si="124"/>
        <v>11</v>
      </c>
      <c r="EA22" s="15">
        <f t="shared" si="125"/>
        <v>1</v>
      </c>
    </row>
    <row r="23" spans="1:131" s="14" customFormat="1" x14ac:dyDescent="0.2">
      <c r="A23" s="15">
        <v>8</v>
      </c>
      <c r="B23" s="14" t="s">
        <v>46</v>
      </c>
      <c r="C23" s="15">
        <v>0</v>
      </c>
      <c r="D23" s="15">
        <v>1</v>
      </c>
      <c r="E23" s="16"/>
      <c r="F23" s="15">
        <v>31</v>
      </c>
      <c r="G23" s="15">
        <f t="shared" si="63"/>
        <v>0</v>
      </c>
      <c r="H23" s="15">
        <f t="shared" si="64"/>
        <v>186</v>
      </c>
      <c r="I23" s="16"/>
      <c r="J23" s="15">
        <v>36</v>
      </c>
      <c r="K23" s="15">
        <f t="shared" si="65"/>
        <v>0</v>
      </c>
      <c r="L23" s="15">
        <f t="shared" si="66"/>
        <v>216</v>
      </c>
      <c r="M23" s="16"/>
      <c r="N23" s="15">
        <v>37</v>
      </c>
      <c r="O23" s="15">
        <f t="shared" si="67"/>
        <v>0</v>
      </c>
      <c r="P23" s="15">
        <f t="shared" si="68"/>
        <v>222</v>
      </c>
      <c r="Q23" s="16"/>
      <c r="R23" s="15">
        <v>41</v>
      </c>
      <c r="S23" s="15">
        <f t="shared" si="69"/>
        <v>0</v>
      </c>
      <c r="T23" s="15">
        <f t="shared" si="70"/>
        <v>246</v>
      </c>
      <c r="U23" s="16"/>
      <c r="V23" s="15">
        <v>23</v>
      </c>
      <c r="W23" s="15">
        <f t="shared" si="71"/>
        <v>0</v>
      </c>
      <c r="X23" s="15">
        <f t="shared" si="72"/>
        <v>138</v>
      </c>
      <c r="Y23" s="16"/>
      <c r="Z23" s="15">
        <v>37</v>
      </c>
      <c r="AA23" s="15">
        <f t="shared" si="73"/>
        <v>0</v>
      </c>
      <c r="AB23" s="15">
        <f t="shared" si="74"/>
        <v>222</v>
      </c>
      <c r="AC23" s="16"/>
      <c r="AD23" s="15">
        <v>34</v>
      </c>
      <c r="AE23" s="15">
        <f t="shared" si="75"/>
        <v>0</v>
      </c>
      <c r="AF23" s="15">
        <f t="shared" si="76"/>
        <v>204</v>
      </c>
      <c r="AG23" s="16"/>
      <c r="AH23" s="15">
        <v>39</v>
      </c>
      <c r="AI23" s="15">
        <f t="shared" si="77"/>
        <v>0</v>
      </c>
      <c r="AJ23" s="15">
        <f t="shared" si="78"/>
        <v>234</v>
      </c>
      <c r="AK23" s="16"/>
      <c r="AL23" s="15">
        <v>37</v>
      </c>
      <c r="AM23" s="15">
        <f t="shared" si="79"/>
        <v>0</v>
      </c>
      <c r="AN23" s="15">
        <f t="shared" si="80"/>
        <v>222</v>
      </c>
      <c r="AO23" s="16"/>
      <c r="AP23" s="15">
        <v>34</v>
      </c>
      <c r="AQ23" s="15">
        <f t="shared" si="81"/>
        <v>0</v>
      </c>
      <c r="AR23" s="15">
        <f t="shared" si="82"/>
        <v>204</v>
      </c>
      <c r="AS23" s="16"/>
      <c r="AT23" s="15">
        <v>35</v>
      </c>
      <c r="AU23" s="15">
        <f t="shared" si="83"/>
        <v>0</v>
      </c>
      <c r="AV23" s="15">
        <f t="shared" si="84"/>
        <v>210</v>
      </c>
      <c r="AW23" s="16"/>
      <c r="AX23" s="15">
        <v>29</v>
      </c>
      <c r="AY23" s="15">
        <f t="shared" si="85"/>
        <v>0</v>
      </c>
      <c r="AZ23" s="15">
        <f t="shared" si="86"/>
        <v>174</v>
      </c>
      <c r="BA23" s="16"/>
      <c r="BB23" s="15">
        <v>27</v>
      </c>
      <c r="BC23" s="15">
        <f t="shared" si="87"/>
        <v>0</v>
      </c>
      <c r="BD23" s="15">
        <f t="shared" si="88"/>
        <v>162</v>
      </c>
      <c r="BE23" s="16"/>
      <c r="BF23" s="15">
        <v>29</v>
      </c>
      <c r="BG23" s="15">
        <f t="shared" si="89"/>
        <v>0</v>
      </c>
      <c r="BH23" s="15">
        <f t="shared" si="90"/>
        <v>174</v>
      </c>
      <c r="BI23" s="16"/>
      <c r="BJ23" s="15">
        <v>35</v>
      </c>
      <c r="BK23" s="15">
        <f t="shared" si="91"/>
        <v>0</v>
      </c>
      <c r="BL23" s="15">
        <f t="shared" si="92"/>
        <v>210</v>
      </c>
      <c r="BM23" s="16"/>
      <c r="BN23" s="15">
        <v>37</v>
      </c>
      <c r="BO23" s="15">
        <f t="shared" si="93"/>
        <v>0</v>
      </c>
      <c r="BP23" s="15">
        <f t="shared" si="94"/>
        <v>222</v>
      </c>
      <c r="BQ23" s="16"/>
      <c r="BR23" s="15">
        <v>27</v>
      </c>
      <c r="BS23" s="15">
        <f t="shared" si="95"/>
        <v>0</v>
      </c>
      <c r="BT23" s="15">
        <f t="shared" si="96"/>
        <v>162</v>
      </c>
      <c r="BU23" s="16"/>
      <c r="BV23" s="15">
        <v>10</v>
      </c>
      <c r="BW23" s="15">
        <f t="shared" si="97"/>
        <v>0</v>
      </c>
      <c r="BX23" s="15">
        <f t="shared" si="98"/>
        <v>60</v>
      </c>
      <c r="BY23" s="16"/>
      <c r="BZ23" s="15">
        <v>25</v>
      </c>
      <c r="CA23" s="15">
        <f t="shared" si="99"/>
        <v>0</v>
      </c>
      <c r="CB23" s="15">
        <f t="shared" si="100"/>
        <v>150</v>
      </c>
      <c r="CC23" s="16"/>
      <c r="CD23" s="15">
        <v>30</v>
      </c>
      <c r="CE23" s="15">
        <f t="shared" si="101"/>
        <v>0</v>
      </c>
      <c r="CF23" s="15">
        <f t="shared" si="102"/>
        <v>180</v>
      </c>
      <c r="CG23" s="16"/>
      <c r="CH23" s="15">
        <v>41</v>
      </c>
      <c r="CI23" s="15">
        <f t="shared" si="103"/>
        <v>0</v>
      </c>
      <c r="CJ23" s="15">
        <f t="shared" si="104"/>
        <v>246</v>
      </c>
      <c r="CK23" s="16"/>
      <c r="CL23" s="15">
        <v>43</v>
      </c>
      <c r="CM23" s="15">
        <f t="shared" si="105"/>
        <v>0</v>
      </c>
      <c r="CN23" s="15">
        <f t="shared" si="106"/>
        <v>258</v>
      </c>
      <c r="CO23" s="16"/>
      <c r="CP23" s="15">
        <v>35</v>
      </c>
      <c r="CQ23" s="15">
        <f t="shared" si="107"/>
        <v>0</v>
      </c>
      <c r="CR23" s="15">
        <f t="shared" si="108"/>
        <v>210</v>
      </c>
      <c r="CS23" s="16"/>
      <c r="CT23" s="15">
        <v>22</v>
      </c>
      <c r="CU23" s="15">
        <f t="shared" si="109"/>
        <v>0</v>
      </c>
      <c r="CV23" s="15">
        <f t="shared" si="110"/>
        <v>132</v>
      </c>
      <c r="CW23" s="16"/>
      <c r="CX23" s="15">
        <v>32</v>
      </c>
      <c r="CY23" s="15">
        <f t="shared" si="111"/>
        <v>0</v>
      </c>
      <c r="CZ23" s="15">
        <f t="shared" si="112"/>
        <v>192</v>
      </c>
      <c r="DA23" s="16"/>
      <c r="DB23" s="15">
        <v>36</v>
      </c>
      <c r="DC23" s="15">
        <f t="shared" si="113"/>
        <v>0</v>
      </c>
      <c r="DD23" s="15">
        <f t="shared" si="114"/>
        <v>216</v>
      </c>
      <c r="DE23" s="16"/>
      <c r="DF23" s="15">
        <v>35</v>
      </c>
      <c r="DG23" s="15">
        <f t="shared" si="115"/>
        <v>0</v>
      </c>
      <c r="DH23" s="15">
        <f t="shared" si="116"/>
        <v>210</v>
      </c>
      <c r="DI23" s="16"/>
      <c r="DJ23" s="15"/>
      <c r="DK23" s="15">
        <f t="shared" si="117"/>
        <v>0</v>
      </c>
      <c r="DL23" s="15">
        <f t="shared" si="118"/>
        <v>0</v>
      </c>
      <c r="DM23" s="16"/>
      <c r="DN23" s="15"/>
      <c r="DO23" s="15">
        <f t="shared" si="119"/>
        <v>0</v>
      </c>
      <c r="DP23" s="15">
        <f t="shared" si="120"/>
        <v>0</v>
      </c>
      <c r="DQ23" s="16"/>
      <c r="DR23" s="15"/>
      <c r="DS23" s="15">
        <f t="shared" si="121"/>
        <v>0</v>
      </c>
      <c r="DT23" s="15">
        <f t="shared" si="122"/>
        <v>0</v>
      </c>
      <c r="DU23" s="16"/>
      <c r="DV23" s="15"/>
      <c r="DW23" s="15"/>
      <c r="DX23" s="15">
        <f t="shared" si="123"/>
        <v>0</v>
      </c>
      <c r="DZ23" s="15">
        <f t="shared" si="124"/>
        <v>43</v>
      </c>
      <c r="EA23" s="15">
        <f t="shared" si="125"/>
        <v>10</v>
      </c>
    </row>
    <row r="24" spans="1:131" s="14" customFormat="1" x14ac:dyDescent="0.2">
      <c r="A24" s="15">
        <v>9</v>
      </c>
      <c r="B24" s="14" t="s">
        <v>47</v>
      </c>
      <c r="C24" s="15">
        <v>0</v>
      </c>
      <c r="D24" s="15">
        <v>1</v>
      </c>
      <c r="E24" s="16"/>
      <c r="F24" s="15">
        <v>24</v>
      </c>
      <c r="G24" s="15">
        <f t="shared" si="63"/>
        <v>0</v>
      </c>
      <c r="H24" s="15">
        <f t="shared" si="64"/>
        <v>144</v>
      </c>
      <c r="I24" s="16"/>
      <c r="J24" s="15">
        <v>33</v>
      </c>
      <c r="K24" s="15">
        <f t="shared" si="65"/>
        <v>0</v>
      </c>
      <c r="L24" s="15">
        <f t="shared" si="66"/>
        <v>198</v>
      </c>
      <c r="M24" s="16"/>
      <c r="N24" s="15">
        <v>29</v>
      </c>
      <c r="O24" s="15">
        <f t="shared" si="67"/>
        <v>0</v>
      </c>
      <c r="P24" s="15">
        <f t="shared" si="68"/>
        <v>174</v>
      </c>
      <c r="Q24" s="16"/>
      <c r="R24" s="15">
        <v>33</v>
      </c>
      <c r="S24" s="15">
        <f t="shared" si="69"/>
        <v>0</v>
      </c>
      <c r="T24" s="15">
        <f t="shared" si="70"/>
        <v>198</v>
      </c>
      <c r="U24" s="16"/>
      <c r="V24" s="15">
        <v>27</v>
      </c>
      <c r="W24" s="15">
        <f t="shared" si="71"/>
        <v>0</v>
      </c>
      <c r="X24" s="15">
        <f t="shared" si="72"/>
        <v>162</v>
      </c>
      <c r="Y24" s="16"/>
      <c r="Z24" s="15">
        <v>25</v>
      </c>
      <c r="AA24" s="15">
        <f t="shared" si="73"/>
        <v>0</v>
      </c>
      <c r="AB24" s="15">
        <f t="shared" si="74"/>
        <v>150</v>
      </c>
      <c r="AC24" s="16"/>
      <c r="AD24" s="15">
        <v>33</v>
      </c>
      <c r="AE24" s="15">
        <f t="shared" si="75"/>
        <v>0</v>
      </c>
      <c r="AF24" s="15">
        <f t="shared" si="76"/>
        <v>198</v>
      </c>
      <c r="AG24" s="16"/>
      <c r="AH24" s="15">
        <v>25</v>
      </c>
      <c r="AI24" s="15">
        <f t="shared" si="77"/>
        <v>0</v>
      </c>
      <c r="AJ24" s="15">
        <f t="shared" si="78"/>
        <v>150</v>
      </c>
      <c r="AK24" s="16"/>
      <c r="AL24" s="15">
        <v>25</v>
      </c>
      <c r="AM24" s="15">
        <f t="shared" si="79"/>
        <v>0</v>
      </c>
      <c r="AN24" s="15">
        <f t="shared" si="80"/>
        <v>150</v>
      </c>
      <c r="AO24" s="16"/>
      <c r="AP24" s="15">
        <v>38</v>
      </c>
      <c r="AQ24" s="15">
        <f t="shared" si="81"/>
        <v>0</v>
      </c>
      <c r="AR24" s="15">
        <f t="shared" si="82"/>
        <v>228</v>
      </c>
      <c r="AS24" s="16"/>
      <c r="AT24" s="15">
        <v>34</v>
      </c>
      <c r="AU24" s="15">
        <f t="shared" si="83"/>
        <v>0</v>
      </c>
      <c r="AV24" s="15">
        <f t="shared" si="84"/>
        <v>204</v>
      </c>
      <c r="AW24" s="16"/>
      <c r="AX24" s="15">
        <v>36</v>
      </c>
      <c r="AY24" s="15">
        <f t="shared" si="85"/>
        <v>0</v>
      </c>
      <c r="AZ24" s="15">
        <f t="shared" si="86"/>
        <v>216</v>
      </c>
      <c r="BA24" s="16"/>
      <c r="BB24" s="15">
        <v>38</v>
      </c>
      <c r="BC24" s="15">
        <f t="shared" si="87"/>
        <v>0</v>
      </c>
      <c r="BD24" s="15">
        <f t="shared" si="88"/>
        <v>228</v>
      </c>
      <c r="BE24" s="16"/>
      <c r="BF24" s="15">
        <v>34</v>
      </c>
      <c r="BG24" s="15">
        <f t="shared" si="89"/>
        <v>0</v>
      </c>
      <c r="BH24" s="15">
        <f t="shared" si="90"/>
        <v>204</v>
      </c>
      <c r="BI24" s="16"/>
      <c r="BJ24" s="15">
        <v>34</v>
      </c>
      <c r="BK24" s="15">
        <f t="shared" si="91"/>
        <v>0</v>
      </c>
      <c r="BL24" s="15">
        <f t="shared" si="92"/>
        <v>204</v>
      </c>
      <c r="BM24" s="16"/>
      <c r="BN24" s="15">
        <v>33</v>
      </c>
      <c r="BO24" s="15">
        <f t="shared" si="93"/>
        <v>0</v>
      </c>
      <c r="BP24" s="15">
        <f t="shared" si="94"/>
        <v>198</v>
      </c>
      <c r="BQ24" s="16"/>
      <c r="BR24" s="15">
        <v>41</v>
      </c>
      <c r="BS24" s="15">
        <f t="shared" si="95"/>
        <v>0</v>
      </c>
      <c r="BT24" s="15">
        <f t="shared" si="96"/>
        <v>246</v>
      </c>
      <c r="BU24" s="16"/>
      <c r="BV24" s="15">
        <v>46</v>
      </c>
      <c r="BW24" s="15">
        <f t="shared" si="97"/>
        <v>0</v>
      </c>
      <c r="BX24" s="15">
        <f t="shared" si="98"/>
        <v>276</v>
      </c>
      <c r="BY24" s="16"/>
      <c r="BZ24" s="15">
        <v>24</v>
      </c>
      <c r="CA24" s="15">
        <f t="shared" si="99"/>
        <v>0</v>
      </c>
      <c r="CB24" s="15">
        <f t="shared" si="100"/>
        <v>144</v>
      </c>
      <c r="CC24" s="16"/>
      <c r="CD24" s="15">
        <v>37</v>
      </c>
      <c r="CE24" s="15">
        <f t="shared" si="101"/>
        <v>0</v>
      </c>
      <c r="CF24" s="15">
        <f t="shared" si="102"/>
        <v>222</v>
      </c>
      <c r="CG24" s="16"/>
      <c r="CH24" s="15">
        <v>48</v>
      </c>
      <c r="CI24" s="15">
        <f t="shared" si="103"/>
        <v>0</v>
      </c>
      <c r="CJ24" s="15">
        <f t="shared" si="104"/>
        <v>288</v>
      </c>
      <c r="CK24" s="16"/>
      <c r="CL24" s="15">
        <v>30</v>
      </c>
      <c r="CM24" s="15">
        <f t="shared" si="105"/>
        <v>0</v>
      </c>
      <c r="CN24" s="15">
        <f t="shared" si="106"/>
        <v>180</v>
      </c>
      <c r="CO24" s="16"/>
      <c r="CP24" s="15">
        <v>36</v>
      </c>
      <c r="CQ24" s="15">
        <f t="shared" si="107"/>
        <v>0</v>
      </c>
      <c r="CR24" s="15">
        <f t="shared" si="108"/>
        <v>216</v>
      </c>
      <c r="CS24" s="16"/>
      <c r="CT24" s="15">
        <v>43</v>
      </c>
      <c r="CU24" s="15">
        <f t="shared" si="109"/>
        <v>0</v>
      </c>
      <c r="CV24" s="15">
        <f t="shared" si="110"/>
        <v>258</v>
      </c>
      <c r="CW24" s="16"/>
      <c r="CX24" s="15">
        <v>31</v>
      </c>
      <c r="CY24" s="15">
        <f t="shared" si="111"/>
        <v>0</v>
      </c>
      <c r="CZ24" s="15">
        <f t="shared" si="112"/>
        <v>186</v>
      </c>
      <c r="DA24" s="16"/>
      <c r="DB24" s="15">
        <v>22</v>
      </c>
      <c r="DC24" s="15">
        <f t="shared" si="113"/>
        <v>0</v>
      </c>
      <c r="DD24" s="15">
        <f t="shared" si="114"/>
        <v>132</v>
      </c>
      <c r="DE24" s="16"/>
      <c r="DF24" s="15">
        <v>31</v>
      </c>
      <c r="DG24" s="15">
        <f t="shared" si="115"/>
        <v>0</v>
      </c>
      <c r="DH24" s="15">
        <f t="shared" si="116"/>
        <v>186</v>
      </c>
      <c r="DI24" s="16"/>
      <c r="DJ24" s="15"/>
      <c r="DK24" s="15">
        <f t="shared" si="117"/>
        <v>0</v>
      </c>
      <c r="DL24" s="15">
        <f t="shared" si="118"/>
        <v>0</v>
      </c>
      <c r="DM24" s="16"/>
      <c r="DN24" s="15"/>
      <c r="DO24" s="15">
        <f t="shared" si="119"/>
        <v>0</v>
      </c>
      <c r="DP24" s="15">
        <f t="shared" si="120"/>
        <v>0</v>
      </c>
      <c r="DQ24" s="16"/>
      <c r="DR24" s="15"/>
      <c r="DS24" s="15">
        <f t="shared" si="121"/>
        <v>0</v>
      </c>
      <c r="DT24" s="15">
        <f t="shared" si="122"/>
        <v>0</v>
      </c>
      <c r="DU24" s="16"/>
      <c r="DV24" s="15"/>
      <c r="DW24" s="15"/>
      <c r="DX24" s="15">
        <f t="shared" si="123"/>
        <v>0</v>
      </c>
      <c r="DZ24" s="15">
        <f t="shared" si="124"/>
        <v>48</v>
      </c>
      <c r="EA24" s="15">
        <f t="shared" si="125"/>
        <v>24</v>
      </c>
    </row>
    <row r="25" spans="1:131" s="14" customFormat="1" x14ac:dyDescent="0.2">
      <c r="A25" s="15">
        <v>5</v>
      </c>
      <c r="B25" s="14" t="s">
        <v>48</v>
      </c>
      <c r="C25" s="15">
        <v>0</v>
      </c>
      <c r="D25" s="15">
        <v>1</v>
      </c>
      <c r="E25" s="16"/>
      <c r="F25" s="15">
        <v>53</v>
      </c>
      <c r="G25" s="15">
        <f t="shared" si="63"/>
        <v>0</v>
      </c>
      <c r="H25" s="15">
        <f t="shared" si="64"/>
        <v>318</v>
      </c>
      <c r="I25" s="16"/>
      <c r="J25" s="15">
        <v>51</v>
      </c>
      <c r="K25" s="15">
        <f t="shared" si="65"/>
        <v>0</v>
      </c>
      <c r="L25" s="15">
        <f t="shared" si="66"/>
        <v>306</v>
      </c>
      <c r="M25" s="16"/>
      <c r="N25" s="15">
        <v>48</v>
      </c>
      <c r="O25" s="15">
        <f t="shared" si="67"/>
        <v>0</v>
      </c>
      <c r="P25" s="15">
        <f t="shared" si="68"/>
        <v>288</v>
      </c>
      <c r="Q25" s="16"/>
      <c r="R25" s="15">
        <v>23</v>
      </c>
      <c r="S25" s="15">
        <f t="shared" si="69"/>
        <v>0</v>
      </c>
      <c r="T25" s="15">
        <f t="shared" si="70"/>
        <v>138</v>
      </c>
      <c r="U25" s="16"/>
      <c r="V25" s="15">
        <v>51</v>
      </c>
      <c r="W25" s="15">
        <f t="shared" si="71"/>
        <v>0</v>
      </c>
      <c r="X25" s="15">
        <f t="shared" si="72"/>
        <v>306</v>
      </c>
      <c r="Y25" s="16"/>
      <c r="Z25" s="15">
        <v>34</v>
      </c>
      <c r="AA25" s="15">
        <f t="shared" si="73"/>
        <v>0</v>
      </c>
      <c r="AB25" s="15">
        <f t="shared" si="74"/>
        <v>204</v>
      </c>
      <c r="AC25" s="16"/>
      <c r="AD25" s="15">
        <v>46</v>
      </c>
      <c r="AE25" s="15">
        <f t="shared" si="75"/>
        <v>0</v>
      </c>
      <c r="AF25" s="15">
        <f t="shared" si="76"/>
        <v>276</v>
      </c>
      <c r="AG25" s="16"/>
      <c r="AH25" s="15">
        <v>47</v>
      </c>
      <c r="AI25" s="15">
        <f t="shared" si="77"/>
        <v>0</v>
      </c>
      <c r="AJ25" s="15">
        <f t="shared" si="78"/>
        <v>282</v>
      </c>
      <c r="AK25" s="16"/>
      <c r="AL25" s="15">
        <v>31</v>
      </c>
      <c r="AM25" s="15">
        <f t="shared" si="79"/>
        <v>0</v>
      </c>
      <c r="AN25" s="15">
        <f t="shared" si="80"/>
        <v>186</v>
      </c>
      <c r="AO25" s="16"/>
      <c r="AP25" s="15">
        <v>49</v>
      </c>
      <c r="AQ25" s="15">
        <f t="shared" si="81"/>
        <v>0</v>
      </c>
      <c r="AR25" s="15">
        <f t="shared" si="82"/>
        <v>294</v>
      </c>
      <c r="AS25" s="16"/>
      <c r="AT25" s="15">
        <v>24</v>
      </c>
      <c r="AU25" s="15">
        <f t="shared" si="83"/>
        <v>0</v>
      </c>
      <c r="AV25" s="15">
        <f t="shared" si="84"/>
        <v>144</v>
      </c>
      <c r="AW25" s="16"/>
      <c r="AX25" s="15">
        <v>47</v>
      </c>
      <c r="AY25" s="15">
        <f t="shared" si="85"/>
        <v>0</v>
      </c>
      <c r="AZ25" s="15">
        <f t="shared" si="86"/>
        <v>282</v>
      </c>
      <c r="BA25" s="16"/>
      <c r="BB25" s="15">
        <v>48</v>
      </c>
      <c r="BC25" s="15">
        <f t="shared" si="87"/>
        <v>0</v>
      </c>
      <c r="BD25" s="15">
        <f t="shared" si="88"/>
        <v>288</v>
      </c>
      <c r="BE25" s="16"/>
      <c r="BF25" s="15">
        <v>51</v>
      </c>
      <c r="BG25" s="15">
        <f t="shared" si="89"/>
        <v>0</v>
      </c>
      <c r="BH25" s="15">
        <f t="shared" si="90"/>
        <v>306</v>
      </c>
      <c r="BI25" s="16"/>
      <c r="BJ25" s="15">
        <v>44</v>
      </c>
      <c r="BK25" s="15">
        <f t="shared" si="91"/>
        <v>0</v>
      </c>
      <c r="BL25" s="15">
        <f t="shared" si="92"/>
        <v>264</v>
      </c>
      <c r="BM25" s="16"/>
      <c r="BN25" s="15">
        <v>50</v>
      </c>
      <c r="BO25" s="15">
        <f t="shared" si="93"/>
        <v>0</v>
      </c>
      <c r="BP25" s="15">
        <f t="shared" si="94"/>
        <v>300</v>
      </c>
      <c r="BQ25" s="16"/>
      <c r="BR25" s="15">
        <v>19</v>
      </c>
      <c r="BS25" s="15">
        <f t="shared" si="95"/>
        <v>0</v>
      </c>
      <c r="BT25" s="15">
        <f t="shared" si="96"/>
        <v>114</v>
      </c>
      <c r="BU25" s="16"/>
      <c r="BV25" s="15">
        <v>50</v>
      </c>
      <c r="BW25" s="15">
        <f t="shared" si="97"/>
        <v>0</v>
      </c>
      <c r="BX25" s="15">
        <f t="shared" si="98"/>
        <v>300</v>
      </c>
      <c r="BY25" s="16"/>
      <c r="BZ25" s="15">
        <v>54</v>
      </c>
      <c r="CA25" s="15">
        <f t="shared" si="99"/>
        <v>0</v>
      </c>
      <c r="CB25" s="15">
        <f t="shared" si="100"/>
        <v>324</v>
      </c>
      <c r="CC25" s="16"/>
      <c r="CD25" s="15">
        <v>42</v>
      </c>
      <c r="CE25" s="15">
        <f t="shared" si="101"/>
        <v>0</v>
      </c>
      <c r="CF25" s="15">
        <f t="shared" si="102"/>
        <v>252</v>
      </c>
      <c r="CG25" s="16"/>
      <c r="CH25" s="15">
        <v>42</v>
      </c>
      <c r="CI25" s="15">
        <f t="shared" si="103"/>
        <v>0</v>
      </c>
      <c r="CJ25" s="15">
        <f t="shared" si="104"/>
        <v>252</v>
      </c>
      <c r="CK25" s="16"/>
      <c r="CL25" s="15">
        <v>22</v>
      </c>
      <c r="CM25" s="15">
        <f t="shared" si="105"/>
        <v>0</v>
      </c>
      <c r="CN25" s="15">
        <f t="shared" si="106"/>
        <v>132</v>
      </c>
      <c r="CO25" s="16"/>
      <c r="CP25" s="15">
        <v>53</v>
      </c>
      <c r="CQ25" s="15">
        <f t="shared" si="107"/>
        <v>0</v>
      </c>
      <c r="CR25" s="15">
        <f t="shared" si="108"/>
        <v>318</v>
      </c>
      <c r="CS25" s="16"/>
      <c r="CT25" s="15">
        <v>59</v>
      </c>
      <c r="CU25" s="15">
        <f t="shared" si="109"/>
        <v>0</v>
      </c>
      <c r="CV25" s="15">
        <f t="shared" si="110"/>
        <v>354</v>
      </c>
      <c r="CW25" s="16"/>
      <c r="CX25" s="15">
        <v>51</v>
      </c>
      <c r="CY25" s="15">
        <f t="shared" si="111"/>
        <v>0</v>
      </c>
      <c r="CZ25" s="15">
        <f t="shared" si="112"/>
        <v>306</v>
      </c>
      <c r="DA25" s="16"/>
      <c r="DB25" s="15">
        <v>43</v>
      </c>
      <c r="DC25" s="15">
        <f t="shared" si="113"/>
        <v>0</v>
      </c>
      <c r="DD25" s="15">
        <f t="shared" si="114"/>
        <v>258</v>
      </c>
      <c r="DE25" s="16"/>
      <c r="DF25" s="15">
        <v>47</v>
      </c>
      <c r="DG25" s="15">
        <f t="shared" si="115"/>
        <v>0</v>
      </c>
      <c r="DH25" s="15">
        <f t="shared" si="116"/>
        <v>282</v>
      </c>
      <c r="DI25" s="16"/>
      <c r="DJ25" s="15"/>
      <c r="DK25" s="15">
        <f t="shared" si="117"/>
        <v>0</v>
      </c>
      <c r="DL25" s="15">
        <f t="shared" si="118"/>
        <v>0</v>
      </c>
      <c r="DM25" s="16"/>
      <c r="DN25" s="15"/>
      <c r="DO25" s="15">
        <f t="shared" si="119"/>
        <v>0</v>
      </c>
      <c r="DP25" s="15">
        <f t="shared" si="120"/>
        <v>0</v>
      </c>
      <c r="DQ25" s="16"/>
      <c r="DR25" s="15"/>
      <c r="DS25" s="15">
        <f t="shared" si="121"/>
        <v>0</v>
      </c>
      <c r="DT25" s="15">
        <f t="shared" si="122"/>
        <v>0</v>
      </c>
      <c r="DU25" s="16"/>
      <c r="DV25" s="15"/>
      <c r="DW25" s="15"/>
      <c r="DX25" s="15">
        <f t="shared" si="123"/>
        <v>0</v>
      </c>
      <c r="DZ25" s="15">
        <f t="shared" si="124"/>
        <v>54</v>
      </c>
      <c r="EA25" s="15">
        <f t="shared" si="125"/>
        <v>19</v>
      </c>
    </row>
    <row r="26" spans="1:131" s="14" customFormat="1" x14ac:dyDescent="0.2">
      <c r="A26" s="15">
        <v>12</v>
      </c>
      <c r="B26" s="14" t="s">
        <v>49</v>
      </c>
      <c r="C26" s="15">
        <v>0</v>
      </c>
      <c r="D26" s="15">
        <v>1</v>
      </c>
      <c r="E26" s="16"/>
      <c r="F26" s="15">
        <v>19</v>
      </c>
      <c r="G26" s="15">
        <f t="shared" si="63"/>
        <v>0</v>
      </c>
      <c r="H26" s="15">
        <f t="shared" si="64"/>
        <v>114</v>
      </c>
      <c r="I26" s="16"/>
      <c r="J26" s="15">
        <v>21</v>
      </c>
      <c r="K26" s="15">
        <f t="shared" si="65"/>
        <v>0</v>
      </c>
      <c r="L26" s="15">
        <f t="shared" si="66"/>
        <v>126</v>
      </c>
      <c r="M26" s="16"/>
      <c r="N26" s="15">
        <v>19</v>
      </c>
      <c r="O26" s="15">
        <f t="shared" si="67"/>
        <v>0</v>
      </c>
      <c r="P26" s="15">
        <f t="shared" si="68"/>
        <v>114</v>
      </c>
      <c r="Q26" s="16"/>
      <c r="R26" s="15">
        <v>26</v>
      </c>
      <c r="S26" s="15">
        <f t="shared" si="69"/>
        <v>0</v>
      </c>
      <c r="T26" s="15">
        <f t="shared" si="70"/>
        <v>156</v>
      </c>
      <c r="U26" s="16"/>
      <c r="V26" s="15">
        <v>14</v>
      </c>
      <c r="W26" s="15">
        <f t="shared" si="71"/>
        <v>0</v>
      </c>
      <c r="X26" s="15">
        <f t="shared" si="72"/>
        <v>84</v>
      </c>
      <c r="Y26" s="16"/>
      <c r="Z26" s="15">
        <v>12</v>
      </c>
      <c r="AA26" s="15">
        <f t="shared" si="73"/>
        <v>0</v>
      </c>
      <c r="AB26" s="15">
        <f t="shared" si="74"/>
        <v>72</v>
      </c>
      <c r="AC26" s="16"/>
      <c r="AD26" s="15">
        <v>28</v>
      </c>
      <c r="AE26" s="15">
        <f t="shared" si="75"/>
        <v>0</v>
      </c>
      <c r="AF26" s="15">
        <f t="shared" si="76"/>
        <v>168</v>
      </c>
      <c r="AG26" s="16"/>
      <c r="AH26" s="15">
        <v>21</v>
      </c>
      <c r="AI26" s="15">
        <f t="shared" si="77"/>
        <v>0</v>
      </c>
      <c r="AJ26" s="15">
        <f t="shared" si="78"/>
        <v>126</v>
      </c>
      <c r="AK26" s="16"/>
      <c r="AL26" s="15">
        <v>41</v>
      </c>
      <c r="AM26" s="15">
        <f t="shared" si="79"/>
        <v>0</v>
      </c>
      <c r="AN26" s="15">
        <f t="shared" si="80"/>
        <v>246</v>
      </c>
      <c r="AO26" s="16"/>
      <c r="AP26" s="15">
        <v>19</v>
      </c>
      <c r="AQ26" s="15">
        <f t="shared" si="81"/>
        <v>0</v>
      </c>
      <c r="AR26" s="15">
        <f t="shared" si="82"/>
        <v>114</v>
      </c>
      <c r="AS26" s="16"/>
      <c r="AT26" s="15">
        <v>18</v>
      </c>
      <c r="AU26" s="15">
        <f t="shared" si="83"/>
        <v>0</v>
      </c>
      <c r="AV26" s="15">
        <f t="shared" si="84"/>
        <v>108</v>
      </c>
      <c r="AW26" s="16"/>
      <c r="AX26" s="15">
        <v>23</v>
      </c>
      <c r="AY26" s="15">
        <f t="shared" si="85"/>
        <v>0</v>
      </c>
      <c r="AZ26" s="15">
        <f t="shared" si="86"/>
        <v>138</v>
      </c>
      <c r="BA26" s="16"/>
      <c r="BB26" s="15">
        <v>8</v>
      </c>
      <c r="BC26" s="15">
        <f t="shared" si="87"/>
        <v>0</v>
      </c>
      <c r="BD26" s="15">
        <f t="shared" si="88"/>
        <v>48</v>
      </c>
      <c r="BE26" s="16"/>
      <c r="BF26" s="15">
        <v>16</v>
      </c>
      <c r="BG26" s="15">
        <f t="shared" si="89"/>
        <v>0</v>
      </c>
      <c r="BH26" s="15">
        <f t="shared" si="90"/>
        <v>96</v>
      </c>
      <c r="BI26" s="16"/>
      <c r="BJ26" s="15">
        <v>20</v>
      </c>
      <c r="BK26" s="15">
        <f t="shared" si="91"/>
        <v>0</v>
      </c>
      <c r="BL26" s="15">
        <f t="shared" si="92"/>
        <v>120</v>
      </c>
      <c r="BM26" s="16"/>
      <c r="BN26" s="15">
        <v>18</v>
      </c>
      <c r="BO26" s="15">
        <f t="shared" si="93"/>
        <v>0</v>
      </c>
      <c r="BP26" s="15">
        <f t="shared" si="94"/>
        <v>108</v>
      </c>
      <c r="BQ26" s="16"/>
      <c r="BR26" s="15">
        <v>4</v>
      </c>
      <c r="BS26" s="15">
        <f t="shared" si="95"/>
        <v>0</v>
      </c>
      <c r="BT26" s="15">
        <f t="shared" si="96"/>
        <v>24</v>
      </c>
      <c r="BU26" s="16"/>
      <c r="BV26" s="15">
        <v>11</v>
      </c>
      <c r="BW26" s="15">
        <f t="shared" si="97"/>
        <v>0</v>
      </c>
      <c r="BX26" s="15">
        <f t="shared" si="98"/>
        <v>66</v>
      </c>
      <c r="BY26" s="16"/>
      <c r="BZ26" s="15">
        <v>11</v>
      </c>
      <c r="CA26" s="15">
        <f t="shared" si="99"/>
        <v>0</v>
      </c>
      <c r="CB26" s="15">
        <f t="shared" si="100"/>
        <v>66</v>
      </c>
      <c r="CC26" s="16"/>
      <c r="CD26" s="15">
        <v>17</v>
      </c>
      <c r="CE26" s="15">
        <f t="shared" si="101"/>
        <v>0</v>
      </c>
      <c r="CF26" s="15">
        <f t="shared" si="102"/>
        <v>102</v>
      </c>
      <c r="CG26" s="16"/>
      <c r="CH26" s="15">
        <v>51</v>
      </c>
      <c r="CI26" s="15">
        <f t="shared" si="103"/>
        <v>0</v>
      </c>
      <c r="CJ26" s="15">
        <f t="shared" si="104"/>
        <v>306</v>
      </c>
      <c r="CK26" s="16"/>
      <c r="CL26" s="15">
        <v>38</v>
      </c>
      <c r="CM26" s="15">
        <f t="shared" si="105"/>
        <v>0</v>
      </c>
      <c r="CN26" s="15">
        <f t="shared" si="106"/>
        <v>228</v>
      </c>
      <c r="CO26" s="16"/>
      <c r="CP26" s="15">
        <v>20</v>
      </c>
      <c r="CQ26" s="15">
        <f t="shared" si="107"/>
        <v>0</v>
      </c>
      <c r="CR26" s="15">
        <f t="shared" si="108"/>
        <v>120</v>
      </c>
      <c r="CS26" s="16"/>
      <c r="CT26" s="15">
        <v>6</v>
      </c>
      <c r="CU26" s="15">
        <f t="shared" si="109"/>
        <v>0</v>
      </c>
      <c r="CV26" s="15">
        <f t="shared" si="110"/>
        <v>36</v>
      </c>
      <c r="CW26" s="16"/>
      <c r="CX26" s="15">
        <v>12</v>
      </c>
      <c r="CY26" s="15">
        <f t="shared" si="111"/>
        <v>0</v>
      </c>
      <c r="CZ26" s="15">
        <f t="shared" si="112"/>
        <v>72</v>
      </c>
      <c r="DA26" s="16"/>
      <c r="DB26" s="15">
        <v>28</v>
      </c>
      <c r="DC26" s="15">
        <f t="shared" si="113"/>
        <v>0</v>
      </c>
      <c r="DD26" s="15">
        <f t="shared" si="114"/>
        <v>168</v>
      </c>
      <c r="DE26" s="16"/>
      <c r="DF26" s="15">
        <v>18</v>
      </c>
      <c r="DG26" s="15">
        <f t="shared" si="115"/>
        <v>0</v>
      </c>
      <c r="DH26" s="15">
        <f t="shared" si="116"/>
        <v>108</v>
      </c>
      <c r="DI26" s="16"/>
      <c r="DJ26" s="15"/>
      <c r="DK26" s="15">
        <f t="shared" si="117"/>
        <v>0</v>
      </c>
      <c r="DL26" s="15">
        <f t="shared" si="118"/>
        <v>0</v>
      </c>
      <c r="DM26" s="16"/>
      <c r="DN26" s="15"/>
      <c r="DO26" s="15">
        <f t="shared" si="119"/>
        <v>0</v>
      </c>
      <c r="DP26" s="15">
        <f t="shared" si="120"/>
        <v>0</v>
      </c>
      <c r="DQ26" s="16"/>
      <c r="DR26" s="15"/>
      <c r="DS26" s="15">
        <f t="shared" si="121"/>
        <v>0</v>
      </c>
      <c r="DT26" s="15">
        <f t="shared" si="122"/>
        <v>0</v>
      </c>
      <c r="DU26" s="16"/>
      <c r="DV26" s="15"/>
      <c r="DW26" s="15"/>
      <c r="DX26" s="15">
        <f t="shared" si="123"/>
        <v>0</v>
      </c>
      <c r="DZ26" s="15">
        <f t="shared" si="124"/>
        <v>51</v>
      </c>
      <c r="EA26" s="15">
        <f t="shared" si="125"/>
        <v>4</v>
      </c>
    </row>
    <row r="27" spans="1:131" s="14" customFormat="1" x14ac:dyDescent="0.2">
      <c r="A27" s="15">
        <v>4</v>
      </c>
      <c r="B27" s="14" t="s">
        <v>50</v>
      </c>
      <c r="C27" s="15">
        <v>0</v>
      </c>
      <c r="D27" s="15">
        <v>1</v>
      </c>
      <c r="E27" s="16"/>
      <c r="F27" s="15">
        <v>40</v>
      </c>
      <c r="G27" s="15">
        <f t="shared" si="63"/>
        <v>0</v>
      </c>
      <c r="H27" s="15">
        <f t="shared" si="64"/>
        <v>240</v>
      </c>
      <c r="I27" s="16"/>
      <c r="J27" s="15">
        <v>43</v>
      </c>
      <c r="K27" s="15">
        <f t="shared" si="65"/>
        <v>0</v>
      </c>
      <c r="L27" s="15">
        <f t="shared" si="66"/>
        <v>258</v>
      </c>
      <c r="M27" s="16"/>
      <c r="N27" s="15">
        <v>47</v>
      </c>
      <c r="O27" s="15">
        <f t="shared" si="67"/>
        <v>0</v>
      </c>
      <c r="P27" s="15">
        <f t="shared" si="68"/>
        <v>282</v>
      </c>
      <c r="Q27" s="16"/>
      <c r="R27" s="15">
        <v>38</v>
      </c>
      <c r="S27" s="15">
        <f t="shared" si="69"/>
        <v>0</v>
      </c>
      <c r="T27" s="15">
        <f t="shared" si="70"/>
        <v>228</v>
      </c>
      <c r="U27" s="16"/>
      <c r="V27" s="15">
        <v>47</v>
      </c>
      <c r="W27" s="15">
        <f t="shared" si="71"/>
        <v>0</v>
      </c>
      <c r="X27" s="15">
        <f t="shared" si="72"/>
        <v>282</v>
      </c>
      <c r="Y27" s="16"/>
      <c r="Z27" s="15">
        <v>30</v>
      </c>
      <c r="AA27" s="15">
        <f t="shared" si="73"/>
        <v>0</v>
      </c>
      <c r="AB27" s="15">
        <f t="shared" si="74"/>
        <v>180</v>
      </c>
      <c r="AC27" s="16"/>
      <c r="AD27" s="15">
        <v>60</v>
      </c>
      <c r="AE27" s="15">
        <f t="shared" si="75"/>
        <v>0</v>
      </c>
      <c r="AF27" s="15">
        <f t="shared" si="76"/>
        <v>360</v>
      </c>
      <c r="AG27" s="16"/>
      <c r="AH27" s="15">
        <v>53</v>
      </c>
      <c r="AI27" s="15">
        <f t="shared" si="77"/>
        <v>0</v>
      </c>
      <c r="AJ27" s="15">
        <f t="shared" si="78"/>
        <v>318</v>
      </c>
      <c r="AK27" s="16"/>
      <c r="AL27" s="15">
        <v>26</v>
      </c>
      <c r="AM27" s="15">
        <f t="shared" si="79"/>
        <v>0</v>
      </c>
      <c r="AN27" s="15">
        <f t="shared" si="80"/>
        <v>156</v>
      </c>
      <c r="AO27" s="16"/>
      <c r="AP27" s="15">
        <v>47</v>
      </c>
      <c r="AQ27" s="15">
        <f t="shared" si="81"/>
        <v>0</v>
      </c>
      <c r="AR27" s="15">
        <f t="shared" si="82"/>
        <v>282</v>
      </c>
      <c r="AS27" s="16"/>
      <c r="AT27" s="15">
        <v>47</v>
      </c>
      <c r="AU27" s="15">
        <f t="shared" si="83"/>
        <v>0</v>
      </c>
      <c r="AV27" s="15">
        <f t="shared" si="84"/>
        <v>282</v>
      </c>
      <c r="AW27" s="16"/>
      <c r="AX27" s="15">
        <v>48</v>
      </c>
      <c r="AY27" s="15">
        <f t="shared" si="85"/>
        <v>0</v>
      </c>
      <c r="AZ27" s="15">
        <f t="shared" si="86"/>
        <v>288</v>
      </c>
      <c r="BA27" s="16"/>
      <c r="BB27" s="15">
        <v>41</v>
      </c>
      <c r="BC27" s="15">
        <f t="shared" si="87"/>
        <v>0</v>
      </c>
      <c r="BD27" s="15">
        <f t="shared" si="88"/>
        <v>246</v>
      </c>
      <c r="BE27" s="16"/>
      <c r="BF27" s="15">
        <v>48</v>
      </c>
      <c r="BG27" s="15">
        <f t="shared" si="89"/>
        <v>0</v>
      </c>
      <c r="BH27" s="15">
        <f t="shared" si="90"/>
        <v>288</v>
      </c>
      <c r="BI27" s="16"/>
      <c r="BJ27" s="15">
        <v>50</v>
      </c>
      <c r="BK27" s="15">
        <f t="shared" si="91"/>
        <v>0</v>
      </c>
      <c r="BL27" s="15">
        <f t="shared" si="92"/>
        <v>300</v>
      </c>
      <c r="BM27" s="16"/>
      <c r="BN27" s="15">
        <v>43</v>
      </c>
      <c r="BO27" s="15">
        <f t="shared" si="93"/>
        <v>0</v>
      </c>
      <c r="BP27" s="15">
        <f t="shared" si="94"/>
        <v>258</v>
      </c>
      <c r="BQ27" s="16"/>
      <c r="BR27" s="15">
        <v>39</v>
      </c>
      <c r="BS27" s="15">
        <f t="shared" si="95"/>
        <v>0</v>
      </c>
      <c r="BT27" s="15">
        <f t="shared" si="96"/>
        <v>234</v>
      </c>
      <c r="BU27" s="16"/>
      <c r="BV27" s="15">
        <v>45</v>
      </c>
      <c r="BW27" s="15">
        <f t="shared" si="97"/>
        <v>0</v>
      </c>
      <c r="BX27" s="15">
        <f t="shared" si="98"/>
        <v>270</v>
      </c>
      <c r="BY27" s="16"/>
      <c r="BZ27" s="15">
        <v>44</v>
      </c>
      <c r="CA27" s="15">
        <f t="shared" si="99"/>
        <v>0</v>
      </c>
      <c r="CB27" s="15">
        <f t="shared" si="100"/>
        <v>264</v>
      </c>
      <c r="CC27" s="16"/>
      <c r="CD27" s="15">
        <v>41</v>
      </c>
      <c r="CE27" s="15">
        <f t="shared" si="101"/>
        <v>0</v>
      </c>
      <c r="CF27" s="15">
        <f t="shared" si="102"/>
        <v>246</v>
      </c>
      <c r="CG27" s="16"/>
      <c r="CH27" s="15">
        <v>43</v>
      </c>
      <c r="CI27" s="15">
        <f t="shared" si="103"/>
        <v>0</v>
      </c>
      <c r="CJ27" s="15">
        <f t="shared" si="104"/>
        <v>258</v>
      </c>
      <c r="CK27" s="16"/>
      <c r="CL27" s="15">
        <v>49</v>
      </c>
      <c r="CM27" s="15">
        <f t="shared" si="105"/>
        <v>0</v>
      </c>
      <c r="CN27" s="15">
        <f t="shared" si="106"/>
        <v>294</v>
      </c>
      <c r="CO27" s="16"/>
      <c r="CP27" s="15">
        <v>55</v>
      </c>
      <c r="CQ27" s="15">
        <f t="shared" si="107"/>
        <v>0</v>
      </c>
      <c r="CR27" s="15">
        <f t="shared" si="108"/>
        <v>330</v>
      </c>
      <c r="CS27" s="16"/>
      <c r="CT27" s="15">
        <v>34</v>
      </c>
      <c r="CU27" s="15">
        <f t="shared" si="109"/>
        <v>0</v>
      </c>
      <c r="CV27" s="15">
        <f t="shared" si="110"/>
        <v>204</v>
      </c>
      <c r="CW27" s="16"/>
      <c r="CX27" s="15">
        <v>50</v>
      </c>
      <c r="CY27" s="15">
        <f t="shared" si="111"/>
        <v>0</v>
      </c>
      <c r="CZ27" s="15">
        <f t="shared" si="112"/>
        <v>300</v>
      </c>
      <c r="DA27" s="16"/>
      <c r="DB27" s="15">
        <v>48</v>
      </c>
      <c r="DC27" s="15">
        <f t="shared" si="113"/>
        <v>0</v>
      </c>
      <c r="DD27" s="15">
        <f t="shared" si="114"/>
        <v>288</v>
      </c>
      <c r="DE27" s="16"/>
      <c r="DF27" s="15">
        <v>51</v>
      </c>
      <c r="DG27" s="15">
        <f t="shared" si="115"/>
        <v>0</v>
      </c>
      <c r="DH27" s="15">
        <f t="shared" si="116"/>
        <v>306</v>
      </c>
      <c r="DI27" s="16"/>
      <c r="DJ27" s="15"/>
      <c r="DK27" s="15">
        <f t="shared" si="117"/>
        <v>0</v>
      </c>
      <c r="DL27" s="15">
        <f t="shared" si="118"/>
        <v>0</v>
      </c>
      <c r="DM27" s="16"/>
      <c r="DN27" s="15"/>
      <c r="DO27" s="15">
        <f t="shared" si="119"/>
        <v>0</v>
      </c>
      <c r="DP27" s="15">
        <f t="shared" si="120"/>
        <v>0</v>
      </c>
      <c r="DQ27" s="16"/>
      <c r="DR27" s="15"/>
      <c r="DS27" s="15">
        <f t="shared" si="121"/>
        <v>0</v>
      </c>
      <c r="DT27" s="15">
        <f t="shared" si="122"/>
        <v>0</v>
      </c>
      <c r="DU27" s="16"/>
      <c r="DV27" s="15"/>
      <c r="DW27" s="15"/>
      <c r="DX27" s="15">
        <f t="shared" si="123"/>
        <v>0</v>
      </c>
      <c r="DZ27" s="15">
        <f t="shared" si="124"/>
        <v>60</v>
      </c>
      <c r="EA27" s="15">
        <f t="shared" si="125"/>
        <v>26</v>
      </c>
    </row>
    <row r="28" spans="1:131" s="14" customFormat="1" x14ac:dyDescent="0.2">
      <c r="A28" s="15">
        <v>13</v>
      </c>
      <c r="B28" s="14" t="s">
        <v>51</v>
      </c>
      <c r="C28" s="15">
        <v>0</v>
      </c>
      <c r="D28" s="15">
        <v>1</v>
      </c>
      <c r="E28" s="16"/>
      <c r="F28" s="15">
        <v>10</v>
      </c>
      <c r="G28" s="15">
        <f t="shared" si="63"/>
        <v>0</v>
      </c>
      <c r="H28" s="15">
        <f t="shared" si="64"/>
        <v>60</v>
      </c>
      <c r="I28" s="16"/>
      <c r="J28" s="15">
        <v>17</v>
      </c>
      <c r="K28" s="15">
        <f t="shared" si="65"/>
        <v>0</v>
      </c>
      <c r="L28" s="15">
        <f t="shared" si="66"/>
        <v>102</v>
      </c>
      <c r="M28" s="16"/>
      <c r="N28" s="15">
        <v>15</v>
      </c>
      <c r="O28" s="15">
        <f t="shared" si="67"/>
        <v>0</v>
      </c>
      <c r="P28" s="15">
        <f t="shared" si="68"/>
        <v>90</v>
      </c>
      <c r="Q28" s="16"/>
      <c r="R28" s="15">
        <v>16</v>
      </c>
      <c r="S28" s="15">
        <f t="shared" si="69"/>
        <v>0</v>
      </c>
      <c r="T28" s="15">
        <f t="shared" si="70"/>
        <v>96</v>
      </c>
      <c r="U28" s="16"/>
      <c r="V28" s="15">
        <v>15</v>
      </c>
      <c r="W28" s="15">
        <f t="shared" si="71"/>
        <v>0</v>
      </c>
      <c r="X28" s="15">
        <f t="shared" si="72"/>
        <v>90</v>
      </c>
      <c r="Y28" s="16"/>
      <c r="Z28" s="15">
        <v>13</v>
      </c>
      <c r="AA28" s="15">
        <f t="shared" si="73"/>
        <v>0</v>
      </c>
      <c r="AB28" s="15">
        <f t="shared" si="74"/>
        <v>78</v>
      </c>
      <c r="AC28" s="16"/>
      <c r="AD28" s="15">
        <v>12</v>
      </c>
      <c r="AE28" s="15">
        <f t="shared" si="75"/>
        <v>0</v>
      </c>
      <c r="AF28" s="15">
        <f t="shared" si="76"/>
        <v>72</v>
      </c>
      <c r="AG28" s="16"/>
      <c r="AH28" s="15">
        <v>12</v>
      </c>
      <c r="AI28" s="15">
        <f t="shared" si="77"/>
        <v>0</v>
      </c>
      <c r="AJ28" s="15">
        <f t="shared" si="78"/>
        <v>72</v>
      </c>
      <c r="AK28" s="16"/>
      <c r="AL28" s="15">
        <v>43</v>
      </c>
      <c r="AM28" s="15">
        <f t="shared" si="79"/>
        <v>0</v>
      </c>
      <c r="AN28" s="15">
        <f t="shared" si="80"/>
        <v>258</v>
      </c>
      <c r="AO28" s="16"/>
      <c r="AP28" s="15">
        <v>15</v>
      </c>
      <c r="AQ28" s="15">
        <f t="shared" si="81"/>
        <v>0</v>
      </c>
      <c r="AR28" s="15">
        <f t="shared" si="82"/>
        <v>90</v>
      </c>
      <c r="AS28" s="16"/>
      <c r="AT28" s="15">
        <v>11</v>
      </c>
      <c r="AU28" s="15">
        <f t="shared" si="83"/>
        <v>0</v>
      </c>
      <c r="AV28" s="15">
        <f t="shared" si="84"/>
        <v>66</v>
      </c>
      <c r="AW28" s="16"/>
      <c r="AX28" s="15">
        <v>14</v>
      </c>
      <c r="AY28" s="15">
        <f t="shared" si="85"/>
        <v>0</v>
      </c>
      <c r="AZ28" s="15">
        <f t="shared" si="86"/>
        <v>84</v>
      </c>
      <c r="BA28" s="16"/>
      <c r="BB28" s="15">
        <v>9</v>
      </c>
      <c r="BC28" s="15">
        <f t="shared" si="87"/>
        <v>0</v>
      </c>
      <c r="BD28" s="15">
        <f t="shared" si="88"/>
        <v>54</v>
      </c>
      <c r="BE28" s="16"/>
      <c r="BF28" s="15">
        <v>12</v>
      </c>
      <c r="BG28" s="15">
        <f t="shared" si="89"/>
        <v>0</v>
      </c>
      <c r="BH28" s="15">
        <f t="shared" si="90"/>
        <v>72</v>
      </c>
      <c r="BI28" s="16"/>
      <c r="BJ28" s="15">
        <v>16</v>
      </c>
      <c r="BK28" s="15">
        <f t="shared" si="91"/>
        <v>0</v>
      </c>
      <c r="BL28" s="15">
        <f t="shared" si="92"/>
        <v>96</v>
      </c>
      <c r="BM28" s="16"/>
      <c r="BN28" s="15">
        <v>14</v>
      </c>
      <c r="BO28" s="15">
        <f t="shared" si="93"/>
        <v>0</v>
      </c>
      <c r="BP28" s="15">
        <f t="shared" si="94"/>
        <v>84</v>
      </c>
      <c r="BQ28" s="16"/>
      <c r="BR28" s="15">
        <v>15</v>
      </c>
      <c r="BS28" s="15">
        <f t="shared" si="95"/>
        <v>0</v>
      </c>
      <c r="BT28" s="15">
        <f t="shared" si="96"/>
        <v>90</v>
      </c>
      <c r="BU28" s="16"/>
      <c r="BV28" s="15">
        <v>12</v>
      </c>
      <c r="BW28" s="15">
        <f t="shared" si="97"/>
        <v>0</v>
      </c>
      <c r="BX28" s="15">
        <f t="shared" si="98"/>
        <v>72</v>
      </c>
      <c r="BY28" s="16"/>
      <c r="BZ28" s="15">
        <v>31</v>
      </c>
      <c r="CA28" s="15">
        <f t="shared" si="99"/>
        <v>0</v>
      </c>
      <c r="CB28" s="15">
        <f t="shared" si="100"/>
        <v>186</v>
      </c>
      <c r="CC28" s="16"/>
      <c r="CD28" s="15">
        <v>14</v>
      </c>
      <c r="CE28" s="15">
        <f t="shared" si="101"/>
        <v>0</v>
      </c>
      <c r="CF28" s="15">
        <f t="shared" si="102"/>
        <v>84</v>
      </c>
      <c r="CG28" s="16"/>
      <c r="CH28" s="15">
        <v>9</v>
      </c>
      <c r="CI28" s="15">
        <f t="shared" si="103"/>
        <v>0</v>
      </c>
      <c r="CJ28" s="15">
        <f t="shared" si="104"/>
        <v>54</v>
      </c>
      <c r="CK28" s="16"/>
      <c r="CL28" s="15">
        <v>18</v>
      </c>
      <c r="CM28" s="15">
        <f t="shared" si="105"/>
        <v>0</v>
      </c>
      <c r="CN28" s="15">
        <f t="shared" si="106"/>
        <v>108</v>
      </c>
      <c r="CO28" s="16"/>
      <c r="CP28" s="15">
        <v>12</v>
      </c>
      <c r="CQ28" s="15">
        <f t="shared" si="107"/>
        <v>0</v>
      </c>
      <c r="CR28" s="15">
        <f t="shared" si="108"/>
        <v>72</v>
      </c>
      <c r="CS28" s="16"/>
      <c r="CT28" s="15">
        <v>31</v>
      </c>
      <c r="CU28" s="15">
        <f t="shared" si="109"/>
        <v>0</v>
      </c>
      <c r="CV28" s="15">
        <f t="shared" si="110"/>
        <v>186</v>
      </c>
      <c r="CW28" s="16"/>
      <c r="CX28" s="15">
        <v>16</v>
      </c>
      <c r="CY28" s="15">
        <f t="shared" si="111"/>
        <v>0</v>
      </c>
      <c r="CZ28" s="15">
        <f t="shared" si="112"/>
        <v>96</v>
      </c>
      <c r="DA28" s="16"/>
      <c r="DB28" s="15">
        <v>19</v>
      </c>
      <c r="DC28" s="15">
        <f t="shared" si="113"/>
        <v>0</v>
      </c>
      <c r="DD28" s="15">
        <f t="shared" si="114"/>
        <v>114</v>
      </c>
      <c r="DE28" s="16"/>
      <c r="DF28" s="15">
        <v>14</v>
      </c>
      <c r="DG28" s="15">
        <f t="shared" si="115"/>
        <v>0</v>
      </c>
      <c r="DH28" s="15">
        <f t="shared" si="116"/>
        <v>84</v>
      </c>
      <c r="DI28" s="16"/>
      <c r="DJ28" s="15"/>
      <c r="DK28" s="15">
        <f t="shared" si="117"/>
        <v>0</v>
      </c>
      <c r="DL28" s="15">
        <f t="shared" si="118"/>
        <v>0</v>
      </c>
      <c r="DM28" s="16"/>
      <c r="DN28" s="15"/>
      <c r="DO28" s="15">
        <f t="shared" si="119"/>
        <v>0</v>
      </c>
      <c r="DP28" s="15">
        <f t="shared" si="120"/>
        <v>0</v>
      </c>
      <c r="DQ28" s="16"/>
      <c r="DR28" s="15"/>
      <c r="DS28" s="15">
        <f t="shared" si="121"/>
        <v>0</v>
      </c>
      <c r="DT28" s="15">
        <f t="shared" si="122"/>
        <v>0</v>
      </c>
      <c r="DU28" s="16"/>
      <c r="DV28" s="15"/>
      <c r="DW28" s="15"/>
      <c r="DX28" s="15">
        <f t="shared" si="123"/>
        <v>0</v>
      </c>
      <c r="DZ28" s="15">
        <f t="shared" si="124"/>
        <v>43</v>
      </c>
      <c r="EA28" s="15">
        <f t="shared" si="125"/>
        <v>9</v>
      </c>
    </row>
    <row r="29" spans="1:131" s="14" customFormat="1" x14ac:dyDescent="0.2">
      <c r="A29" s="15">
        <v>6</v>
      </c>
      <c r="B29" s="14" t="s">
        <v>52</v>
      </c>
      <c r="C29" s="15">
        <v>0</v>
      </c>
      <c r="D29" s="15">
        <v>1</v>
      </c>
      <c r="E29" s="16"/>
      <c r="F29" s="15">
        <v>46</v>
      </c>
      <c r="G29" s="15">
        <f t="shared" si="63"/>
        <v>0</v>
      </c>
      <c r="H29" s="15">
        <f t="shared" si="64"/>
        <v>276</v>
      </c>
      <c r="I29" s="16"/>
      <c r="J29" s="15">
        <v>40</v>
      </c>
      <c r="K29" s="15">
        <f t="shared" si="65"/>
        <v>0</v>
      </c>
      <c r="L29" s="15">
        <f t="shared" si="66"/>
        <v>240</v>
      </c>
      <c r="M29" s="16"/>
      <c r="N29" s="15">
        <v>45</v>
      </c>
      <c r="O29" s="15">
        <f t="shared" si="67"/>
        <v>0</v>
      </c>
      <c r="P29" s="15">
        <f t="shared" si="68"/>
        <v>270</v>
      </c>
      <c r="Q29" s="16"/>
      <c r="R29" s="15">
        <v>46</v>
      </c>
      <c r="S29" s="15">
        <f t="shared" si="69"/>
        <v>0</v>
      </c>
      <c r="T29" s="15">
        <f t="shared" si="70"/>
        <v>276</v>
      </c>
      <c r="U29" s="16"/>
      <c r="V29" s="15">
        <v>29</v>
      </c>
      <c r="W29" s="15">
        <f t="shared" si="71"/>
        <v>0</v>
      </c>
      <c r="X29" s="15">
        <f t="shared" si="72"/>
        <v>174</v>
      </c>
      <c r="Y29" s="16"/>
      <c r="Z29" s="15">
        <v>53</v>
      </c>
      <c r="AA29" s="15">
        <f t="shared" si="73"/>
        <v>0</v>
      </c>
      <c r="AB29" s="15">
        <f t="shared" si="74"/>
        <v>318</v>
      </c>
      <c r="AC29" s="16"/>
      <c r="AD29" s="15">
        <v>38</v>
      </c>
      <c r="AE29" s="15">
        <f t="shared" si="75"/>
        <v>0</v>
      </c>
      <c r="AF29" s="15">
        <f t="shared" si="76"/>
        <v>228</v>
      </c>
      <c r="AG29" s="16"/>
      <c r="AH29" s="15">
        <v>42</v>
      </c>
      <c r="AI29" s="15">
        <f t="shared" si="77"/>
        <v>0</v>
      </c>
      <c r="AJ29" s="15">
        <f t="shared" si="78"/>
        <v>252</v>
      </c>
      <c r="AK29" s="16"/>
      <c r="AL29" s="15">
        <v>52</v>
      </c>
      <c r="AM29" s="15">
        <f t="shared" si="79"/>
        <v>0</v>
      </c>
      <c r="AN29" s="15">
        <f t="shared" si="80"/>
        <v>312</v>
      </c>
      <c r="AO29" s="16"/>
      <c r="AP29" s="15">
        <v>37</v>
      </c>
      <c r="AQ29" s="15">
        <f t="shared" si="81"/>
        <v>0</v>
      </c>
      <c r="AR29" s="15">
        <f t="shared" si="82"/>
        <v>222</v>
      </c>
      <c r="AS29" s="16"/>
      <c r="AT29" s="15">
        <v>25</v>
      </c>
      <c r="AU29" s="15">
        <f t="shared" si="83"/>
        <v>0</v>
      </c>
      <c r="AV29" s="15">
        <f t="shared" si="84"/>
        <v>150</v>
      </c>
      <c r="AW29" s="16"/>
      <c r="AX29" s="15">
        <v>40</v>
      </c>
      <c r="AY29" s="15">
        <f t="shared" si="85"/>
        <v>0</v>
      </c>
      <c r="AZ29" s="15">
        <f t="shared" si="86"/>
        <v>240</v>
      </c>
      <c r="BA29" s="16"/>
      <c r="BB29" s="15">
        <v>43</v>
      </c>
      <c r="BC29" s="15">
        <f t="shared" si="87"/>
        <v>0</v>
      </c>
      <c r="BD29" s="15">
        <f t="shared" si="88"/>
        <v>258</v>
      </c>
      <c r="BE29" s="16"/>
      <c r="BF29" s="15">
        <v>37</v>
      </c>
      <c r="BG29" s="15">
        <f t="shared" si="89"/>
        <v>0</v>
      </c>
      <c r="BH29" s="15">
        <f t="shared" si="90"/>
        <v>222</v>
      </c>
      <c r="BI29" s="16"/>
      <c r="BJ29" s="15">
        <v>45</v>
      </c>
      <c r="BK29" s="15">
        <f t="shared" si="91"/>
        <v>0</v>
      </c>
      <c r="BL29" s="15">
        <f t="shared" si="92"/>
        <v>270</v>
      </c>
      <c r="BM29" s="16"/>
      <c r="BN29" s="15">
        <v>42</v>
      </c>
      <c r="BO29" s="15">
        <f t="shared" si="93"/>
        <v>0</v>
      </c>
      <c r="BP29" s="15">
        <f t="shared" si="94"/>
        <v>252</v>
      </c>
      <c r="BQ29" s="16"/>
      <c r="BR29" s="15">
        <v>49</v>
      </c>
      <c r="BS29" s="15">
        <f t="shared" si="95"/>
        <v>0</v>
      </c>
      <c r="BT29" s="15">
        <f t="shared" si="96"/>
        <v>294</v>
      </c>
      <c r="BU29" s="16"/>
      <c r="BV29" s="15">
        <v>13</v>
      </c>
      <c r="BW29" s="15">
        <f t="shared" si="97"/>
        <v>0</v>
      </c>
      <c r="BX29" s="15">
        <f t="shared" si="98"/>
        <v>78</v>
      </c>
      <c r="BY29" s="16"/>
      <c r="BZ29" s="15">
        <v>42</v>
      </c>
      <c r="CA29" s="15">
        <f t="shared" si="99"/>
        <v>0</v>
      </c>
      <c r="CB29" s="15">
        <f t="shared" si="100"/>
        <v>252</v>
      </c>
      <c r="CC29" s="16"/>
      <c r="CD29" s="15">
        <v>46</v>
      </c>
      <c r="CE29" s="15">
        <f t="shared" si="101"/>
        <v>0</v>
      </c>
      <c r="CF29" s="15">
        <f t="shared" si="102"/>
        <v>276</v>
      </c>
      <c r="CG29" s="16"/>
      <c r="CH29" s="15">
        <v>38</v>
      </c>
      <c r="CI29" s="15">
        <f t="shared" si="103"/>
        <v>0</v>
      </c>
      <c r="CJ29" s="15">
        <f t="shared" si="104"/>
        <v>228</v>
      </c>
      <c r="CK29" s="16"/>
      <c r="CL29" s="15">
        <v>24</v>
      </c>
      <c r="CM29" s="15">
        <f t="shared" si="105"/>
        <v>0</v>
      </c>
      <c r="CN29" s="15">
        <f t="shared" si="106"/>
        <v>144</v>
      </c>
      <c r="CO29" s="16"/>
      <c r="CP29" s="15">
        <v>38</v>
      </c>
      <c r="CQ29" s="15">
        <f t="shared" si="107"/>
        <v>0</v>
      </c>
      <c r="CR29" s="15">
        <f t="shared" si="108"/>
        <v>228</v>
      </c>
      <c r="CS29" s="16"/>
      <c r="CT29" s="15">
        <v>17</v>
      </c>
      <c r="CU29" s="15">
        <f t="shared" si="109"/>
        <v>0</v>
      </c>
      <c r="CV29" s="15">
        <f t="shared" si="110"/>
        <v>102</v>
      </c>
      <c r="CW29" s="16"/>
      <c r="CX29" s="15">
        <v>36</v>
      </c>
      <c r="CY29" s="15">
        <f t="shared" si="111"/>
        <v>0</v>
      </c>
      <c r="CZ29" s="15">
        <f t="shared" si="112"/>
        <v>216</v>
      </c>
      <c r="DA29" s="16"/>
      <c r="DB29" s="15">
        <v>50</v>
      </c>
      <c r="DC29" s="15">
        <f t="shared" si="113"/>
        <v>0</v>
      </c>
      <c r="DD29" s="15">
        <f t="shared" si="114"/>
        <v>300</v>
      </c>
      <c r="DE29" s="16"/>
      <c r="DF29" s="15">
        <v>43</v>
      </c>
      <c r="DG29" s="15">
        <f t="shared" si="115"/>
        <v>0</v>
      </c>
      <c r="DH29" s="15">
        <f t="shared" si="116"/>
        <v>258</v>
      </c>
      <c r="DI29" s="16"/>
      <c r="DJ29" s="15"/>
      <c r="DK29" s="15">
        <f t="shared" si="117"/>
        <v>0</v>
      </c>
      <c r="DL29" s="15">
        <f t="shared" si="118"/>
        <v>0</v>
      </c>
      <c r="DM29" s="16"/>
      <c r="DN29" s="15"/>
      <c r="DO29" s="15">
        <f t="shared" si="119"/>
        <v>0</v>
      </c>
      <c r="DP29" s="15">
        <f t="shared" si="120"/>
        <v>0</v>
      </c>
      <c r="DQ29" s="16"/>
      <c r="DR29" s="15"/>
      <c r="DS29" s="15">
        <f t="shared" si="121"/>
        <v>0</v>
      </c>
      <c r="DT29" s="15">
        <f t="shared" si="122"/>
        <v>0</v>
      </c>
      <c r="DU29" s="16"/>
      <c r="DV29" s="15"/>
      <c r="DW29" s="15"/>
      <c r="DX29" s="15">
        <f t="shared" si="123"/>
        <v>0</v>
      </c>
      <c r="DZ29" s="15">
        <f t="shared" si="124"/>
        <v>53</v>
      </c>
      <c r="EA29" s="15">
        <f t="shared" si="125"/>
        <v>13</v>
      </c>
    </row>
    <row r="30" spans="1:131" s="14" customFormat="1" x14ac:dyDescent="0.2">
      <c r="A30" s="15">
        <v>11</v>
      </c>
      <c r="B30" s="14" t="s">
        <v>53</v>
      </c>
      <c r="C30" s="15">
        <v>0</v>
      </c>
      <c r="D30" s="15">
        <v>1</v>
      </c>
      <c r="E30" s="16"/>
      <c r="F30" s="15">
        <v>20</v>
      </c>
      <c r="G30" s="15">
        <f t="shared" si="63"/>
        <v>0</v>
      </c>
      <c r="H30" s="15">
        <f t="shared" si="64"/>
        <v>120</v>
      </c>
      <c r="I30" s="16"/>
      <c r="J30" s="15">
        <v>24</v>
      </c>
      <c r="K30" s="15">
        <f t="shared" si="65"/>
        <v>0</v>
      </c>
      <c r="L30" s="15">
        <f t="shared" si="66"/>
        <v>144</v>
      </c>
      <c r="M30" s="16"/>
      <c r="N30" s="15">
        <v>25</v>
      </c>
      <c r="O30" s="15">
        <f t="shared" si="67"/>
        <v>0</v>
      </c>
      <c r="P30" s="15">
        <f t="shared" si="68"/>
        <v>150</v>
      </c>
      <c r="Q30" s="16"/>
      <c r="R30" s="15">
        <v>31</v>
      </c>
      <c r="S30" s="15">
        <f t="shared" si="69"/>
        <v>0</v>
      </c>
      <c r="T30" s="15">
        <f t="shared" si="70"/>
        <v>186</v>
      </c>
      <c r="U30" s="16"/>
      <c r="V30" s="15">
        <v>43</v>
      </c>
      <c r="W30" s="15">
        <f t="shared" si="71"/>
        <v>0</v>
      </c>
      <c r="X30" s="15">
        <f t="shared" si="72"/>
        <v>258</v>
      </c>
      <c r="Y30" s="16"/>
      <c r="Z30" s="15">
        <v>14</v>
      </c>
      <c r="AA30" s="15">
        <f t="shared" si="73"/>
        <v>0</v>
      </c>
      <c r="AB30" s="15">
        <f t="shared" si="74"/>
        <v>84</v>
      </c>
      <c r="AC30" s="16"/>
      <c r="AD30" s="15">
        <v>27</v>
      </c>
      <c r="AE30" s="15">
        <f t="shared" si="75"/>
        <v>0</v>
      </c>
      <c r="AF30" s="15">
        <f t="shared" si="76"/>
        <v>162</v>
      </c>
      <c r="AG30" s="16"/>
      <c r="AH30" s="15">
        <v>34</v>
      </c>
      <c r="AI30" s="15">
        <f t="shared" si="77"/>
        <v>0</v>
      </c>
      <c r="AJ30" s="15">
        <f t="shared" si="78"/>
        <v>204</v>
      </c>
      <c r="AK30" s="16"/>
      <c r="AL30" s="15">
        <v>13</v>
      </c>
      <c r="AM30" s="15">
        <f t="shared" si="79"/>
        <v>0</v>
      </c>
      <c r="AN30" s="15">
        <f t="shared" si="80"/>
        <v>78</v>
      </c>
      <c r="AO30" s="16"/>
      <c r="AP30" s="15">
        <v>26</v>
      </c>
      <c r="AQ30" s="15">
        <f t="shared" si="81"/>
        <v>0</v>
      </c>
      <c r="AR30" s="15">
        <f t="shared" si="82"/>
        <v>156</v>
      </c>
      <c r="AS30" s="16"/>
      <c r="AT30" s="15">
        <v>19</v>
      </c>
      <c r="AU30" s="15">
        <f t="shared" si="83"/>
        <v>0</v>
      </c>
      <c r="AV30" s="15">
        <f t="shared" si="84"/>
        <v>114</v>
      </c>
      <c r="AW30" s="16"/>
      <c r="AX30" s="15">
        <v>30</v>
      </c>
      <c r="AY30" s="15">
        <f t="shared" si="85"/>
        <v>0</v>
      </c>
      <c r="AZ30" s="15">
        <f t="shared" si="86"/>
        <v>180</v>
      </c>
      <c r="BA30" s="16"/>
      <c r="BB30" s="15">
        <v>24</v>
      </c>
      <c r="BC30" s="15">
        <f t="shared" si="87"/>
        <v>0</v>
      </c>
      <c r="BD30" s="15">
        <f t="shared" si="88"/>
        <v>144</v>
      </c>
      <c r="BE30" s="16"/>
      <c r="BF30" s="15">
        <v>26</v>
      </c>
      <c r="BG30" s="15">
        <f t="shared" si="89"/>
        <v>0</v>
      </c>
      <c r="BH30" s="15">
        <f t="shared" si="90"/>
        <v>156</v>
      </c>
      <c r="BI30" s="16"/>
      <c r="BJ30" s="15">
        <v>23</v>
      </c>
      <c r="BK30" s="15">
        <f t="shared" si="91"/>
        <v>0</v>
      </c>
      <c r="BL30" s="15">
        <f t="shared" si="92"/>
        <v>138</v>
      </c>
      <c r="BM30" s="16"/>
      <c r="BN30" s="15">
        <v>30</v>
      </c>
      <c r="BO30" s="15">
        <f t="shared" si="93"/>
        <v>0</v>
      </c>
      <c r="BP30" s="15">
        <f t="shared" si="94"/>
        <v>180</v>
      </c>
      <c r="BQ30" s="16"/>
      <c r="BR30" s="15">
        <v>48</v>
      </c>
      <c r="BS30" s="15">
        <f t="shared" si="95"/>
        <v>0</v>
      </c>
      <c r="BT30" s="15">
        <f t="shared" si="96"/>
        <v>288</v>
      </c>
      <c r="BU30" s="16"/>
      <c r="BV30" s="15">
        <v>44</v>
      </c>
      <c r="BW30" s="15">
        <f t="shared" si="97"/>
        <v>0</v>
      </c>
      <c r="BX30" s="15">
        <f t="shared" si="98"/>
        <v>264</v>
      </c>
      <c r="BY30" s="16"/>
      <c r="BZ30" s="15">
        <v>35</v>
      </c>
      <c r="CA30" s="15">
        <f t="shared" si="99"/>
        <v>0</v>
      </c>
      <c r="CB30" s="15">
        <f t="shared" si="100"/>
        <v>210</v>
      </c>
      <c r="CC30" s="16"/>
      <c r="CD30" s="15">
        <v>35</v>
      </c>
      <c r="CE30" s="15">
        <f t="shared" si="101"/>
        <v>0</v>
      </c>
      <c r="CF30" s="15">
        <f t="shared" si="102"/>
        <v>210</v>
      </c>
      <c r="CG30" s="16"/>
      <c r="CH30" s="15">
        <v>24</v>
      </c>
      <c r="CI30" s="15">
        <f t="shared" si="103"/>
        <v>0</v>
      </c>
      <c r="CJ30" s="15">
        <f t="shared" si="104"/>
        <v>144</v>
      </c>
      <c r="CK30" s="16"/>
      <c r="CL30" s="15">
        <v>40</v>
      </c>
      <c r="CM30" s="15">
        <f t="shared" si="105"/>
        <v>0</v>
      </c>
      <c r="CN30" s="15">
        <f t="shared" si="106"/>
        <v>240</v>
      </c>
      <c r="CO30" s="16"/>
      <c r="CP30" s="15">
        <v>26</v>
      </c>
      <c r="CQ30" s="15">
        <f t="shared" si="107"/>
        <v>0</v>
      </c>
      <c r="CR30" s="15">
        <f t="shared" si="108"/>
        <v>156</v>
      </c>
      <c r="CS30" s="16"/>
      <c r="CT30" s="15">
        <v>47</v>
      </c>
      <c r="CU30" s="15">
        <f t="shared" si="109"/>
        <v>0</v>
      </c>
      <c r="CV30" s="15">
        <f t="shared" si="110"/>
        <v>282</v>
      </c>
      <c r="CW30" s="16"/>
      <c r="CX30" s="15">
        <v>44</v>
      </c>
      <c r="CY30" s="15">
        <f t="shared" si="111"/>
        <v>0</v>
      </c>
      <c r="CZ30" s="15">
        <f t="shared" si="112"/>
        <v>264</v>
      </c>
      <c r="DA30" s="16"/>
      <c r="DB30" s="15">
        <v>27</v>
      </c>
      <c r="DC30" s="15">
        <f t="shared" si="113"/>
        <v>0</v>
      </c>
      <c r="DD30" s="15">
        <f t="shared" si="114"/>
        <v>162</v>
      </c>
      <c r="DE30" s="16"/>
      <c r="DF30" s="15">
        <v>22</v>
      </c>
      <c r="DG30" s="15">
        <f t="shared" si="115"/>
        <v>0</v>
      </c>
      <c r="DH30" s="15">
        <f t="shared" si="116"/>
        <v>132</v>
      </c>
      <c r="DI30" s="16"/>
      <c r="DJ30" s="15"/>
      <c r="DK30" s="15">
        <f t="shared" si="117"/>
        <v>0</v>
      </c>
      <c r="DL30" s="15">
        <f t="shared" si="118"/>
        <v>0</v>
      </c>
      <c r="DM30" s="16"/>
      <c r="DN30" s="15"/>
      <c r="DO30" s="15">
        <f t="shared" si="119"/>
        <v>0</v>
      </c>
      <c r="DP30" s="15">
        <f t="shared" si="120"/>
        <v>0</v>
      </c>
      <c r="DQ30" s="16"/>
      <c r="DR30" s="15"/>
      <c r="DS30" s="15">
        <f t="shared" si="121"/>
        <v>0</v>
      </c>
      <c r="DT30" s="15">
        <f t="shared" si="122"/>
        <v>0</v>
      </c>
      <c r="DU30" s="16"/>
      <c r="DV30" s="15"/>
      <c r="DW30" s="15"/>
      <c r="DX30" s="15">
        <f t="shared" si="123"/>
        <v>0</v>
      </c>
      <c r="DZ30" s="15">
        <f t="shared" si="124"/>
        <v>48</v>
      </c>
      <c r="EA30" s="15">
        <f t="shared" si="125"/>
        <v>13</v>
      </c>
    </row>
    <row r="31" spans="1:131" s="14" customFormat="1" x14ac:dyDescent="0.2">
      <c r="A31" s="15">
        <v>3</v>
      </c>
      <c r="B31" s="14" t="s">
        <v>54</v>
      </c>
      <c r="C31" s="15">
        <v>0</v>
      </c>
      <c r="D31" s="15">
        <v>1</v>
      </c>
      <c r="E31" s="16"/>
      <c r="F31" s="15">
        <v>59</v>
      </c>
      <c r="G31" s="15">
        <f t="shared" si="63"/>
        <v>0</v>
      </c>
      <c r="H31" s="15">
        <f t="shared" si="64"/>
        <v>354</v>
      </c>
      <c r="I31" s="16"/>
      <c r="J31" s="15">
        <v>56</v>
      </c>
      <c r="K31" s="15">
        <f t="shared" si="65"/>
        <v>0</v>
      </c>
      <c r="L31" s="15">
        <f t="shared" si="66"/>
        <v>336</v>
      </c>
      <c r="M31" s="16"/>
      <c r="N31" s="15">
        <v>56</v>
      </c>
      <c r="O31" s="15">
        <f t="shared" si="67"/>
        <v>0</v>
      </c>
      <c r="P31" s="15">
        <f t="shared" si="68"/>
        <v>336</v>
      </c>
      <c r="Q31" s="16"/>
      <c r="R31" s="15">
        <v>55</v>
      </c>
      <c r="S31" s="15">
        <f t="shared" si="69"/>
        <v>0</v>
      </c>
      <c r="T31" s="15">
        <f t="shared" si="70"/>
        <v>330</v>
      </c>
      <c r="U31" s="16"/>
      <c r="V31" s="15">
        <v>56</v>
      </c>
      <c r="W31" s="15">
        <f t="shared" si="71"/>
        <v>0</v>
      </c>
      <c r="X31" s="15">
        <f t="shared" si="72"/>
        <v>336</v>
      </c>
      <c r="Y31" s="16"/>
      <c r="Z31" s="15">
        <v>36</v>
      </c>
      <c r="AA31" s="15">
        <f t="shared" si="73"/>
        <v>0</v>
      </c>
      <c r="AB31" s="15">
        <f t="shared" si="74"/>
        <v>216</v>
      </c>
      <c r="AC31" s="16"/>
      <c r="AD31" s="15">
        <v>45</v>
      </c>
      <c r="AE31" s="15">
        <f t="shared" si="75"/>
        <v>0</v>
      </c>
      <c r="AF31" s="15">
        <f t="shared" si="76"/>
        <v>270</v>
      </c>
      <c r="AG31" s="16"/>
      <c r="AH31" s="15">
        <v>51</v>
      </c>
      <c r="AI31" s="15">
        <f t="shared" si="77"/>
        <v>0</v>
      </c>
      <c r="AJ31" s="15">
        <f t="shared" si="78"/>
        <v>306</v>
      </c>
      <c r="AK31" s="16"/>
      <c r="AL31" s="15">
        <v>51</v>
      </c>
      <c r="AM31" s="15">
        <f t="shared" si="79"/>
        <v>0</v>
      </c>
      <c r="AN31" s="15">
        <f t="shared" si="80"/>
        <v>306</v>
      </c>
      <c r="AO31" s="16"/>
      <c r="AP31" s="15">
        <v>56</v>
      </c>
      <c r="AQ31" s="15">
        <f t="shared" si="81"/>
        <v>0</v>
      </c>
      <c r="AR31" s="15">
        <f t="shared" si="82"/>
        <v>336</v>
      </c>
      <c r="AS31" s="16"/>
      <c r="AT31" s="15">
        <v>43</v>
      </c>
      <c r="AU31" s="15">
        <f t="shared" si="83"/>
        <v>0</v>
      </c>
      <c r="AV31" s="15">
        <f t="shared" si="84"/>
        <v>258</v>
      </c>
      <c r="AW31" s="16"/>
      <c r="AX31" s="15">
        <v>56</v>
      </c>
      <c r="AY31" s="15">
        <f t="shared" si="85"/>
        <v>0</v>
      </c>
      <c r="AZ31" s="15">
        <f t="shared" si="86"/>
        <v>336</v>
      </c>
      <c r="BA31" s="16"/>
      <c r="BB31" s="15">
        <v>55</v>
      </c>
      <c r="BC31" s="15">
        <f t="shared" si="87"/>
        <v>0</v>
      </c>
      <c r="BD31" s="15">
        <f t="shared" si="88"/>
        <v>330</v>
      </c>
      <c r="BE31" s="16"/>
      <c r="BF31" s="15">
        <v>54</v>
      </c>
      <c r="BG31" s="15">
        <f t="shared" si="89"/>
        <v>0</v>
      </c>
      <c r="BH31" s="15">
        <f t="shared" si="90"/>
        <v>324</v>
      </c>
      <c r="BI31" s="16"/>
      <c r="BJ31" s="15">
        <v>46</v>
      </c>
      <c r="BK31" s="15">
        <f t="shared" si="91"/>
        <v>0</v>
      </c>
      <c r="BL31" s="15">
        <f t="shared" si="92"/>
        <v>276</v>
      </c>
      <c r="BM31" s="16"/>
      <c r="BN31" s="15">
        <v>60</v>
      </c>
      <c r="BO31" s="15">
        <f t="shared" si="93"/>
        <v>0</v>
      </c>
      <c r="BP31" s="15">
        <f t="shared" si="94"/>
        <v>360</v>
      </c>
      <c r="BQ31" s="16"/>
      <c r="BR31" s="15">
        <v>44</v>
      </c>
      <c r="BS31" s="15">
        <f t="shared" si="95"/>
        <v>0</v>
      </c>
      <c r="BT31" s="15">
        <f t="shared" si="96"/>
        <v>264</v>
      </c>
      <c r="BU31" s="16"/>
      <c r="BV31" s="15">
        <v>56</v>
      </c>
      <c r="BW31" s="15">
        <f t="shared" si="97"/>
        <v>0</v>
      </c>
      <c r="BX31" s="15">
        <f t="shared" si="98"/>
        <v>336</v>
      </c>
      <c r="BY31" s="16"/>
      <c r="BZ31" s="15">
        <v>58</v>
      </c>
      <c r="CA31" s="15">
        <f t="shared" si="99"/>
        <v>0</v>
      </c>
      <c r="CB31" s="15">
        <f t="shared" si="100"/>
        <v>348</v>
      </c>
      <c r="CC31" s="16"/>
      <c r="CD31" s="15">
        <v>47</v>
      </c>
      <c r="CE31" s="15">
        <f t="shared" si="101"/>
        <v>0</v>
      </c>
      <c r="CF31" s="15">
        <f t="shared" si="102"/>
        <v>282</v>
      </c>
      <c r="CG31" s="16"/>
      <c r="CH31" s="15">
        <v>54</v>
      </c>
      <c r="CI31" s="15">
        <f t="shared" si="103"/>
        <v>0</v>
      </c>
      <c r="CJ31" s="15">
        <f t="shared" si="104"/>
        <v>324</v>
      </c>
      <c r="CK31" s="16"/>
      <c r="CL31" s="15">
        <v>51</v>
      </c>
      <c r="CM31" s="15">
        <f t="shared" si="105"/>
        <v>0</v>
      </c>
      <c r="CN31" s="15">
        <f t="shared" si="106"/>
        <v>306</v>
      </c>
      <c r="CO31" s="16"/>
      <c r="CP31" s="15">
        <v>59</v>
      </c>
      <c r="CQ31" s="15">
        <f t="shared" si="107"/>
        <v>0</v>
      </c>
      <c r="CR31" s="15">
        <f t="shared" si="108"/>
        <v>354</v>
      </c>
      <c r="CS31" s="16"/>
      <c r="CT31" s="15">
        <v>56</v>
      </c>
      <c r="CU31" s="15">
        <f t="shared" si="109"/>
        <v>0</v>
      </c>
      <c r="CV31" s="15">
        <f t="shared" si="110"/>
        <v>336</v>
      </c>
      <c r="CW31" s="16"/>
      <c r="CX31" s="15">
        <v>46</v>
      </c>
      <c r="CY31" s="15">
        <f t="shared" si="111"/>
        <v>0</v>
      </c>
      <c r="CZ31" s="15">
        <f t="shared" si="112"/>
        <v>276</v>
      </c>
      <c r="DA31" s="16"/>
      <c r="DB31" s="15">
        <v>61</v>
      </c>
      <c r="DC31" s="15">
        <f t="shared" si="113"/>
        <v>0</v>
      </c>
      <c r="DD31" s="15">
        <f t="shared" si="114"/>
        <v>366</v>
      </c>
      <c r="DE31" s="16"/>
      <c r="DF31" s="15">
        <v>55</v>
      </c>
      <c r="DG31" s="15">
        <f t="shared" si="115"/>
        <v>0</v>
      </c>
      <c r="DH31" s="15">
        <f t="shared" si="116"/>
        <v>330</v>
      </c>
      <c r="DI31" s="16"/>
      <c r="DJ31" s="15"/>
      <c r="DK31" s="15">
        <f t="shared" si="117"/>
        <v>0</v>
      </c>
      <c r="DL31" s="15">
        <f t="shared" si="118"/>
        <v>0</v>
      </c>
      <c r="DM31" s="16"/>
      <c r="DN31" s="15"/>
      <c r="DO31" s="15">
        <f t="shared" si="119"/>
        <v>0</v>
      </c>
      <c r="DP31" s="15">
        <f t="shared" si="120"/>
        <v>0</v>
      </c>
      <c r="DQ31" s="16"/>
      <c r="DR31" s="15"/>
      <c r="DS31" s="15">
        <f t="shared" si="121"/>
        <v>0</v>
      </c>
      <c r="DT31" s="15">
        <f t="shared" si="122"/>
        <v>0</v>
      </c>
      <c r="DU31" s="16"/>
      <c r="DV31" s="15"/>
      <c r="DW31" s="15"/>
      <c r="DX31" s="15">
        <f t="shared" si="123"/>
        <v>0</v>
      </c>
      <c r="DZ31" s="15">
        <f t="shared" si="124"/>
        <v>60</v>
      </c>
      <c r="EA31" s="15">
        <f t="shared" si="125"/>
        <v>36</v>
      </c>
    </row>
    <row r="32" spans="1:131" s="14" customFormat="1" ht="10.5" customHeight="1" x14ac:dyDescent="0.2">
      <c r="A32" s="15">
        <v>14</v>
      </c>
      <c r="B32" s="14" t="s">
        <v>55</v>
      </c>
      <c r="C32" s="15">
        <v>0</v>
      </c>
      <c r="D32" s="15">
        <v>1</v>
      </c>
      <c r="E32" s="16"/>
      <c r="F32" s="15">
        <v>15</v>
      </c>
      <c r="G32" s="15">
        <f t="shared" si="63"/>
        <v>0</v>
      </c>
      <c r="H32" s="15">
        <f t="shared" si="64"/>
        <v>90</v>
      </c>
      <c r="I32" s="16"/>
      <c r="J32" s="15">
        <v>11</v>
      </c>
      <c r="K32" s="15">
        <f t="shared" si="65"/>
        <v>0</v>
      </c>
      <c r="L32" s="15">
        <f t="shared" si="66"/>
        <v>66</v>
      </c>
      <c r="M32" s="16"/>
      <c r="N32" s="15">
        <v>9</v>
      </c>
      <c r="O32" s="15">
        <f t="shared" si="67"/>
        <v>0</v>
      </c>
      <c r="P32" s="15">
        <f t="shared" si="68"/>
        <v>54</v>
      </c>
      <c r="Q32" s="16"/>
      <c r="R32" s="15">
        <v>13</v>
      </c>
      <c r="S32" s="15">
        <f t="shared" si="69"/>
        <v>0</v>
      </c>
      <c r="T32" s="15">
        <f t="shared" si="70"/>
        <v>78</v>
      </c>
      <c r="U32" s="16"/>
      <c r="V32" s="15">
        <v>9</v>
      </c>
      <c r="W32" s="15">
        <f t="shared" si="71"/>
        <v>0</v>
      </c>
      <c r="X32" s="15">
        <f t="shared" si="72"/>
        <v>54</v>
      </c>
      <c r="Y32" s="16"/>
      <c r="Z32" s="15">
        <v>15</v>
      </c>
      <c r="AA32" s="15">
        <f t="shared" si="73"/>
        <v>0</v>
      </c>
      <c r="AB32" s="15">
        <f t="shared" si="74"/>
        <v>90</v>
      </c>
      <c r="AC32" s="16"/>
      <c r="AD32" s="15">
        <v>24</v>
      </c>
      <c r="AE32" s="15">
        <f t="shared" si="75"/>
        <v>0</v>
      </c>
      <c r="AF32" s="15">
        <f t="shared" si="76"/>
        <v>144</v>
      </c>
      <c r="AG32" s="16"/>
      <c r="AH32" s="15">
        <v>11</v>
      </c>
      <c r="AI32" s="15">
        <f t="shared" si="77"/>
        <v>0</v>
      </c>
      <c r="AJ32" s="15">
        <f t="shared" si="78"/>
        <v>66</v>
      </c>
      <c r="AK32" s="16"/>
      <c r="AL32" s="15">
        <v>14</v>
      </c>
      <c r="AM32" s="15">
        <f t="shared" si="79"/>
        <v>0</v>
      </c>
      <c r="AN32" s="15">
        <f t="shared" si="80"/>
        <v>84</v>
      </c>
      <c r="AO32" s="16"/>
      <c r="AP32" s="15">
        <v>12</v>
      </c>
      <c r="AQ32" s="15">
        <f t="shared" si="81"/>
        <v>0</v>
      </c>
      <c r="AR32" s="15">
        <f t="shared" si="82"/>
        <v>72</v>
      </c>
      <c r="AS32" s="16"/>
      <c r="AT32" s="15">
        <v>20</v>
      </c>
      <c r="AU32" s="15">
        <f t="shared" si="83"/>
        <v>0</v>
      </c>
      <c r="AV32" s="15">
        <f t="shared" si="84"/>
        <v>120</v>
      </c>
      <c r="AW32" s="16"/>
      <c r="AX32" s="15">
        <v>10</v>
      </c>
      <c r="AY32" s="15">
        <f t="shared" si="85"/>
        <v>0</v>
      </c>
      <c r="AZ32" s="15">
        <f t="shared" si="86"/>
        <v>60</v>
      </c>
      <c r="BA32" s="16"/>
      <c r="BB32" s="15">
        <v>14</v>
      </c>
      <c r="BC32" s="15">
        <f t="shared" si="87"/>
        <v>0</v>
      </c>
      <c r="BD32" s="15">
        <f t="shared" si="88"/>
        <v>84</v>
      </c>
      <c r="BE32" s="16"/>
      <c r="BF32" s="15">
        <v>10</v>
      </c>
      <c r="BG32" s="15">
        <f t="shared" si="89"/>
        <v>0</v>
      </c>
      <c r="BH32" s="15">
        <f t="shared" si="90"/>
        <v>60</v>
      </c>
      <c r="BI32" s="16"/>
      <c r="BJ32" s="15">
        <v>10</v>
      </c>
      <c r="BK32" s="15">
        <f t="shared" si="91"/>
        <v>0</v>
      </c>
      <c r="BL32" s="15">
        <f t="shared" si="92"/>
        <v>60</v>
      </c>
      <c r="BM32" s="16"/>
      <c r="BN32" s="15">
        <v>19</v>
      </c>
      <c r="BO32" s="15">
        <f t="shared" si="93"/>
        <v>0</v>
      </c>
      <c r="BP32" s="15">
        <f t="shared" si="94"/>
        <v>114</v>
      </c>
      <c r="BQ32" s="16"/>
      <c r="BR32" s="15">
        <v>22</v>
      </c>
      <c r="BS32" s="15">
        <f t="shared" si="95"/>
        <v>0</v>
      </c>
      <c r="BT32" s="15">
        <f t="shared" si="96"/>
        <v>132</v>
      </c>
      <c r="BU32" s="16"/>
      <c r="BV32" s="15">
        <v>14</v>
      </c>
      <c r="BW32" s="15">
        <f t="shared" si="97"/>
        <v>0</v>
      </c>
      <c r="BX32" s="15">
        <f t="shared" si="98"/>
        <v>84</v>
      </c>
      <c r="BY32" s="16"/>
      <c r="BZ32" s="15">
        <v>15</v>
      </c>
      <c r="CA32" s="15">
        <f t="shared" si="99"/>
        <v>0</v>
      </c>
      <c r="CB32" s="15">
        <f t="shared" si="100"/>
        <v>90</v>
      </c>
      <c r="CC32" s="16"/>
      <c r="CD32" s="15">
        <v>10</v>
      </c>
      <c r="CE32" s="15">
        <f t="shared" si="101"/>
        <v>0</v>
      </c>
      <c r="CF32" s="15">
        <f t="shared" si="102"/>
        <v>60</v>
      </c>
      <c r="CG32" s="16"/>
      <c r="CH32" s="15">
        <v>12</v>
      </c>
      <c r="CI32" s="15">
        <f t="shared" si="103"/>
        <v>0</v>
      </c>
      <c r="CJ32" s="15">
        <f t="shared" si="104"/>
        <v>72</v>
      </c>
      <c r="CK32" s="16"/>
      <c r="CL32" s="15">
        <v>17</v>
      </c>
      <c r="CM32" s="15">
        <f t="shared" si="105"/>
        <v>0</v>
      </c>
      <c r="CN32" s="15">
        <f t="shared" si="106"/>
        <v>102</v>
      </c>
      <c r="CO32" s="16"/>
      <c r="CP32" s="15">
        <v>9</v>
      </c>
      <c r="CQ32" s="15">
        <f t="shared" si="107"/>
        <v>0</v>
      </c>
      <c r="CR32" s="15">
        <f t="shared" si="108"/>
        <v>54</v>
      </c>
      <c r="CS32" s="16"/>
      <c r="CT32" s="15">
        <v>9</v>
      </c>
      <c r="CU32" s="15">
        <f t="shared" si="109"/>
        <v>0</v>
      </c>
      <c r="CV32" s="15">
        <f t="shared" si="110"/>
        <v>54</v>
      </c>
      <c r="CW32" s="16"/>
      <c r="CX32" s="15">
        <v>9</v>
      </c>
      <c r="CY32" s="15">
        <f t="shared" si="111"/>
        <v>0</v>
      </c>
      <c r="CZ32" s="15">
        <f t="shared" si="112"/>
        <v>54</v>
      </c>
      <c r="DA32" s="16"/>
      <c r="DB32" s="15">
        <v>18</v>
      </c>
      <c r="DC32" s="15">
        <f t="shared" si="113"/>
        <v>0</v>
      </c>
      <c r="DD32" s="15">
        <f t="shared" si="114"/>
        <v>108</v>
      </c>
      <c r="DE32" s="16"/>
      <c r="DF32" s="15">
        <v>10</v>
      </c>
      <c r="DG32" s="15">
        <f t="shared" si="115"/>
        <v>0</v>
      </c>
      <c r="DH32" s="15">
        <f t="shared" si="116"/>
        <v>60</v>
      </c>
      <c r="DI32" s="16"/>
      <c r="DJ32" s="15"/>
      <c r="DK32" s="15">
        <f t="shared" si="117"/>
        <v>0</v>
      </c>
      <c r="DL32" s="15">
        <f t="shared" si="118"/>
        <v>0</v>
      </c>
      <c r="DM32" s="16"/>
      <c r="DN32" s="15"/>
      <c r="DO32" s="15">
        <f t="shared" si="119"/>
        <v>0</v>
      </c>
      <c r="DP32" s="15">
        <f t="shared" si="120"/>
        <v>0</v>
      </c>
      <c r="DQ32" s="16"/>
      <c r="DR32" s="15"/>
      <c r="DS32" s="15">
        <f t="shared" si="121"/>
        <v>0</v>
      </c>
      <c r="DT32" s="15">
        <f t="shared" si="122"/>
        <v>0</v>
      </c>
      <c r="DU32" s="16"/>
      <c r="DV32" s="15"/>
      <c r="DW32" s="15"/>
      <c r="DX32" s="15">
        <f t="shared" si="123"/>
        <v>0</v>
      </c>
      <c r="DZ32" s="15">
        <f t="shared" si="124"/>
        <v>24</v>
      </c>
      <c r="EA32" s="15">
        <f t="shared" si="125"/>
        <v>9</v>
      </c>
    </row>
    <row r="33" spans="1:131" s="14" customFormat="1" x14ac:dyDescent="0.2">
      <c r="A33" s="15">
        <v>7</v>
      </c>
      <c r="B33" s="14" t="s">
        <v>56</v>
      </c>
      <c r="C33" s="15">
        <v>0</v>
      </c>
      <c r="D33" s="15">
        <v>1</v>
      </c>
      <c r="E33" s="16"/>
      <c r="F33" s="15">
        <v>41</v>
      </c>
      <c r="G33" s="15">
        <f t="shared" si="63"/>
        <v>0</v>
      </c>
      <c r="H33" s="15">
        <f t="shared" si="64"/>
        <v>246</v>
      </c>
      <c r="I33" s="16"/>
      <c r="J33" s="15">
        <v>30</v>
      </c>
      <c r="K33" s="15">
        <f t="shared" si="65"/>
        <v>0</v>
      </c>
      <c r="L33" s="15">
        <f t="shared" si="66"/>
        <v>180</v>
      </c>
      <c r="M33" s="16"/>
      <c r="N33" s="15">
        <v>41</v>
      </c>
      <c r="O33" s="15">
        <f t="shared" si="67"/>
        <v>0</v>
      </c>
      <c r="P33" s="15">
        <f t="shared" si="68"/>
        <v>246</v>
      </c>
      <c r="Q33" s="16"/>
      <c r="R33" s="15">
        <v>43</v>
      </c>
      <c r="S33" s="15">
        <f t="shared" si="69"/>
        <v>0</v>
      </c>
      <c r="T33" s="15">
        <f t="shared" si="70"/>
        <v>258</v>
      </c>
      <c r="U33" s="16"/>
      <c r="V33" s="15">
        <v>33</v>
      </c>
      <c r="W33" s="15">
        <f t="shared" si="71"/>
        <v>0</v>
      </c>
      <c r="X33" s="15">
        <f t="shared" si="72"/>
        <v>198</v>
      </c>
      <c r="Y33" s="16"/>
      <c r="Z33" s="15">
        <v>31</v>
      </c>
      <c r="AA33" s="15">
        <f t="shared" si="73"/>
        <v>0</v>
      </c>
      <c r="AB33" s="15">
        <f t="shared" si="74"/>
        <v>186</v>
      </c>
      <c r="AC33" s="16"/>
      <c r="AD33" s="15">
        <v>50</v>
      </c>
      <c r="AE33" s="15">
        <f t="shared" si="75"/>
        <v>0</v>
      </c>
      <c r="AF33" s="15">
        <f t="shared" si="76"/>
        <v>300</v>
      </c>
      <c r="AG33" s="16"/>
      <c r="AH33" s="15">
        <v>46</v>
      </c>
      <c r="AI33" s="15">
        <f t="shared" si="77"/>
        <v>0</v>
      </c>
      <c r="AJ33" s="15">
        <f t="shared" si="78"/>
        <v>276</v>
      </c>
      <c r="AK33" s="16"/>
      <c r="AL33" s="15">
        <v>30</v>
      </c>
      <c r="AM33" s="15">
        <f t="shared" si="79"/>
        <v>0</v>
      </c>
      <c r="AN33" s="15">
        <f t="shared" si="80"/>
        <v>180</v>
      </c>
      <c r="AO33" s="16"/>
      <c r="AP33" s="15">
        <v>39</v>
      </c>
      <c r="AQ33" s="15">
        <f t="shared" si="81"/>
        <v>0</v>
      </c>
      <c r="AR33" s="15">
        <f t="shared" si="82"/>
        <v>234</v>
      </c>
      <c r="AS33" s="16"/>
      <c r="AT33" s="15">
        <v>46</v>
      </c>
      <c r="AU33" s="15">
        <f t="shared" si="83"/>
        <v>0</v>
      </c>
      <c r="AV33" s="15">
        <f t="shared" si="84"/>
        <v>276</v>
      </c>
      <c r="AW33" s="16"/>
      <c r="AX33" s="15">
        <v>34</v>
      </c>
      <c r="AY33" s="15">
        <f t="shared" si="85"/>
        <v>0</v>
      </c>
      <c r="AZ33" s="15">
        <f t="shared" si="86"/>
        <v>204</v>
      </c>
      <c r="BA33" s="16"/>
      <c r="BB33" s="15">
        <v>37</v>
      </c>
      <c r="BC33" s="15">
        <f t="shared" si="87"/>
        <v>0</v>
      </c>
      <c r="BD33" s="15">
        <f t="shared" si="88"/>
        <v>222</v>
      </c>
      <c r="BE33" s="16"/>
      <c r="BF33" s="15">
        <v>41</v>
      </c>
      <c r="BG33" s="15">
        <f t="shared" si="89"/>
        <v>0</v>
      </c>
      <c r="BH33" s="15">
        <f t="shared" si="90"/>
        <v>246</v>
      </c>
      <c r="BI33" s="16"/>
      <c r="BJ33" s="15">
        <v>27</v>
      </c>
      <c r="BK33" s="15">
        <f t="shared" si="91"/>
        <v>0</v>
      </c>
      <c r="BL33" s="15">
        <f t="shared" si="92"/>
        <v>162</v>
      </c>
      <c r="BM33" s="16"/>
      <c r="BN33" s="15">
        <v>36</v>
      </c>
      <c r="BO33" s="15">
        <f t="shared" si="93"/>
        <v>0</v>
      </c>
      <c r="BP33" s="15">
        <f t="shared" si="94"/>
        <v>216</v>
      </c>
      <c r="BQ33" s="16"/>
      <c r="BR33" s="15">
        <v>47</v>
      </c>
      <c r="BS33" s="15">
        <f t="shared" si="95"/>
        <v>0</v>
      </c>
      <c r="BT33" s="15">
        <f t="shared" si="96"/>
        <v>282</v>
      </c>
      <c r="BU33" s="16"/>
      <c r="BV33" s="15">
        <v>15</v>
      </c>
      <c r="BW33" s="15">
        <f t="shared" si="97"/>
        <v>0</v>
      </c>
      <c r="BX33" s="15">
        <f t="shared" si="98"/>
        <v>90</v>
      </c>
      <c r="BY33" s="16"/>
      <c r="BZ33" s="15">
        <v>34</v>
      </c>
      <c r="CA33" s="15">
        <f t="shared" si="99"/>
        <v>0</v>
      </c>
      <c r="CB33" s="15">
        <f t="shared" si="100"/>
        <v>204</v>
      </c>
      <c r="CC33" s="16"/>
      <c r="CD33" s="15">
        <v>38</v>
      </c>
      <c r="CE33" s="15">
        <f t="shared" si="101"/>
        <v>0</v>
      </c>
      <c r="CF33" s="15">
        <f t="shared" si="102"/>
        <v>228</v>
      </c>
      <c r="CG33" s="16"/>
      <c r="CH33" s="15">
        <v>32</v>
      </c>
      <c r="CI33" s="15">
        <f t="shared" si="103"/>
        <v>0</v>
      </c>
      <c r="CJ33" s="15">
        <f t="shared" si="104"/>
        <v>192</v>
      </c>
      <c r="CK33" s="16"/>
      <c r="CL33" s="15">
        <v>28</v>
      </c>
      <c r="CM33" s="15">
        <f t="shared" si="105"/>
        <v>0</v>
      </c>
      <c r="CN33" s="15">
        <f t="shared" si="106"/>
        <v>168</v>
      </c>
      <c r="CO33" s="16"/>
      <c r="CP33" s="15">
        <v>44</v>
      </c>
      <c r="CQ33" s="15">
        <f t="shared" si="107"/>
        <v>0</v>
      </c>
      <c r="CR33" s="15">
        <f t="shared" si="108"/>
        <v>264</v>
      </c>
      <c r="CS33" s="16"/>
      <c r="CT33" s="15">
        <v>40</v>
      </c>
      <c r="CU33" s="15">
        <f t="shared" si="109"/>
        <v>0</v>
      </c>
      <c r="CV33" s="15">
        <f t="shared" si="110"/>
        <v>240</v>
      </c>
      <c r="CW33" s="16"/>
      <c r="CX33" s="15">
        <v>37</v>
      </c>
      <c r="CY33" s="15">
        <f t="shared" si="111"/>
        <v>0</v>
      </c>
      <c r="CZ33" s="15">
        <f t="shared" si="112"/>
        <v>222</v>
      </c>
      <c r="DA33" s="16"/>
      <c r="DB33" s="15">
        <v>46</v>
      </c>
      <c r="DC33" s="15">
        <f t="shared" si="113"/>
        <v>0</v>
      </c>
      <c r="DD33" s="15">
        <f t="shared" si="114"/>
        <v>276</v>
      </c>
      <c r="DE33" s="16"/>
      <c r="DF33" s="15">
        <v>39</v>
      </c>
      <c r="DG33" s="15">
        <f t="shared" si="115"/>
        <v>0</v>
      </c>
      <c r="DH33" s="15">
        <f t="shared" si="116"/>
        <v>234</v>
      </c>
      <c r="DI33" s="16"/>
      <c r="DJ33" s="15"/>
      <c r="DK33" s="15">
        <f t="shared" si="117"/>
        <v>0</v>
      </c>
      <c r="DL33" s="15">
        <f t="shared" si="118"/>
        <v>0</v>
      </c>
      <c r="DM33" s="16"/>
      <c r="DN33" s="15"/>
      <c r="DO33" s="15">
        <f t="shared" si="119"/>
        <v>0</v>
      </c>
      <c r="DP33" s="15">
        <f t="shared" si="120"/>
        <v>0</v>
      </c>
      <c r="DQ33" s="16"/>
      <c r="DR33" s="15"/>
      <c r="DS33" s="15">
        <f t="shared" si="121"/>
        <v>0</v>
      </c>
      <c r="DT33" s="15">
        <f t="shared" si="122"/>
        <v>0</v>
      </c>
      <c r="DU33" s="16"/>
      <c r="DV33" s="15"/>
      <c r="DW33" s="15"/>
      <c r="DX33" s="15">
        <f t="shared" si="123"/>
        <v>0</v>
      </c>
      <c r="DZ33" s="15">
        <f t="shared" si="124"/>
        <v>50</v>
      </c>
      <c r="EA33" s="15">
        <f t="shared" si="125"/>
        <v>15</v>
      </c>
    </row>
    <row r="34" spans="1:131" s="14" customFormat="1" x14ac:dyDescent="0.2">
      <c r="A34" s="15">
        <v>10</v>
      </c>
      <c r="B34" s="14" t="s">
        <v>57</v>
      </c>
      <c r="C34" s="15">
        <v>0</v>
      </c>
      <c r="D34" s="15">
        <v>1</v>
      </c>
      <c r="E34" s="16"/>
      <c r="F34" s="15">
        <v>33</v>
      </c>
      <c r="G34" s="15">
        <f t="shared" si="63"/>
        <v>0</v>
      </c>
      <c r="H34" s="15">
        <f t="shared" si="64"/>
        <v>198</v>
      </c>
      <c r="I34" s="16"/>
      <c r="J34" s="15">
        <v>34</v>
      </c>
      <c r="K34" s="15">
        <f t="shared" si="65"/>
        <v>0</v>
      </c>
      <c r="L34" s="15">
        <f t="shared" si="66"/>
        <v>204</v>
      </c>
      <c r="M34" s="16"/>
      <c r="N34" s="15">
        <v>34</v>
      </c>
      <c r="O34" s="15">
        <f t="shared" si="67"/>
        <v>0</v>
      </c>
      <c r="P34" s="15">
        <f t="shared" si="68"/>
        <v>204</v>
      </c>
      <c r="Q34" s="16"/>
      <c r="R34" s="15">
        <v>34</v>
      </c>
      <c r="S34" s="15">
        <f t="shared" si="69"/>
        <v>0</v>
      </c>
      <c r="T34" s="15">
        <f t="shared" si="70"/>
        <v>204</v>
      </c>
      <c r="U34" s="16"/>
      <c r="V34" s="15">
        <v>32</v>
      </c>
      <c r="W34" s="15">
        <f t="shared" si="71"/>
        <v>0</v>
      </c>
      <c r="X34" s="15">
        <f t="shared" si="72"/>
        <v>192</v>
      </c>
      <c r="Y34" s="16"/>
      <c r="Z34" s="15">
        <v>16</v>
      </c>
      <c r="AA34" s="15">
        <f t="shared" si="73"/>
        <v>0</v>
      </c>
      <c r="AB34" s="15">
        <f t="shared" si="74"/>
        <v>96</v>
      </c>
      <c r="AC34" s="16"/>
      <c r="AD34" s="15">
        <v>23</v>
      </c>
      <c r="AE34" s="15">
        <f t="shared" si="75"/>
        <v>0</v>
      </c>
      <c r="AF34" s="15">
        <f t="shared" si="76"/>
        <v>138</v>
      </c>
      <c r="AG34" s="16"/>
      <c r="AH34" s="15">
        <v>20</v>
      </c>
      <c r="AI34" s="15">
        <f t="shared" si="77"/>
        <v>0</v>
      </c>
      <c r="AJ34" s="15">
        <f t="shared" si="78"/>
        <v>120</v>
      </c>
      <c r="AK34" s="16"/>
      <c r="AL34" s="15">
        <v>39</v>
      </c>
      <c r="AM34" s="15">
        <f t="shared" si="79"/>
        <v>0</v>
      </c>
      <c r="AN34" s="15">
        <f t="shared" si="80"/>
        <v>234</v>
      </c>
      <c r="AO34" s="16"/>
      <c r="AP34" s="15">
        <v>24</v>
      </c>
      <c r="AQ34" s="15">
        <f t="shared" si="81"/>
        <v>0</v>
      </c>
      <c r="AR34" s="15">
        <f t="shared" si="82"/>
        <v>144</v>
      </c>
      <c r="AS34" s="16"/>
      <c r="AT34" s="15">
        <v>36</v>
      </c>
      <c r="AU34" s="15">
        <f t="shared" si="83"/>
        <v>0</v>
      </c>
      <c r="AV34" s="15">
        <f t="shared" si="84"/>
        <v>216</v>
      </c>
      <c r="AW34" s="16"/>
      <c r="AX34" s="15">
        <v>28</v>
      </c>
      <c r="AY34" s="15">
        <f t="shared" si="85"/>
        <v>0</v>
      </c>
      <c r="AZ34" s="15">
        <f t="shared" si="86"/>
        <v>168</v>
      </c>
      <c r="BA34" s="16"/>
      <c r="BB34" s="15">
        <v>30</v>
      </c>
      <c r="BC34" s="15">
        <f t="shared" si="87"/>
        <v>0</v>
      </c>
      <c r="BD34" s="15">
        <f t="shared" si="88"/>
        <v>180</v>
      </c>
      <c r="BE34" s="16"/>
      <c r="BF34" s="15">
        <v>32</v>
      </c>
      <c r="BG34" s="15">
        <f t="shared" si="89"/>
        <v>0</v>
      </c>
      <c r="BH34" s="15">
        <f t="shared" si="90"/>
        <v>192</v>
      </c>
      <c r="BI34" s="16"/>
      <c r="BJ34" s="15">
        <v>32</v>
      </c>
      <c r="BK34" s="15">
        <f t="shared" si="91"/>
        <v>0</v>
      </c>
      <c r="BL34" s="15">
        <f t="shared" si="92"/>
        <v>192</v>
      </c>
      <c r="BM34" s="16"/>
      <c r="BN34" s="15">
        <v>22</v>
      </c>
      <c r="BO34" s="15">
        <f t="shared" si="93"/>
        <v>0</v>
      </c>
      <c r="BP34" s="15">
        <f t="shared" si="94"/>
        <v>132</v>
      </c>
      <c r="BQ34" s="16"/>
      <c r="BR34" s="15">
        <v>30</v>
      </c>
      <c r="BS34" s="15">
        <f t="shared" si="95"/>
        <v>0</v>
      </c>
      <c r="BT34" s="15">
        <f t="shared" si="96"/>
        <v>180</v>
      </c>
      <c r="BU34" s="16"/>
      <c r="BV34" s="15">
        <v>43</v>
      </c>
      <c r="BW34" s="15">
        <f t="shared" si="97"/>
        <v>0</v>
      </c>
      <c r="BX34" s="15">
        <f t="shared" si="98"/>
        <v>258</v>
      </c>
      <c r="BY34" s="16"/>
      <c r="BZ34" s="15">
        <v>33</v>
      </c>
      <c r="CA34" s="15">
        <f t="shared" si="99"/>
        <v>0</v>
      </c>
      <c r="CB34" s="15">
        <f t="shared" si="100"/>
        <v>198</v>
      </c>
      <c r="CC34" s="16"/>
      <c r="CD34" s="15">
        <v>21</v>
      </c>
      <c r="CE34" s="15">
        <f t="shared" si="101"/>
        <v>0</v>
      </c>
      <c r="CF34" s="15">
        <f t="shared" si="102"/>
        <v>126</v>
      </c>
      <c r="CG34" s="16"/>
      <c r="CH34" s="15">
        <v>25</v>
      </c>
      <c r="CI34" s="15">
        <f t="shared" si="103"/>
        <v>0</v>
      </c>
      <c r="CJ34" s="15">
        <f t="shared" si="104"/>
        <v>150</v>
      </c>
      <c r="CK34" s="16"/>
      <c r="CL34" s="15">
        <v>33</v>
      </c>
      <c r="CM34" s="15">
        <f t="shared" si="105"/>
        <v>0</v>
      </c>
      <c r="CN34" s="15">
        <f t="shared" si="106"/>
        <v>198</v>
      </c>
      <c r="CO34" s="16"/>
      <c r="CP34" s="15">
        <v>31</v>
      </c>
      <c r="CQ34" s="15">
        <f t="shared" si="107"/>
        <v>0</v>
      </c>
      <c r="CR34" s="15">
        <f t="shared" si="108"/>
        <v>186</v>
      </c>
      <c r="CS34" s="16"/>
      <c r="CT34" s="15">
        <v>25</v>
      </c>
      <c r="CU34" s="15">
        <f t="shared" si="109"/>
        <v>0</v>
      </c>
      <c r="CV34" s="15">
        <f t="shared" si="110"/>
        <v>150</v>
      </c>
      <c r="CW34" s="16"/>
      <c r="CX34" s="15">
        <v>10</v>
      </c>
      <c r="CY34" s="15">
        <f t="shared" si="111"/>
        <v>0</v>
      </c>
      <c r="CZ34" s="15">
        <f t="shared" si="112"/>
        <v>60</v>
      </c>
      <c r="DA34" s="16"/>
      <c r="DB34" s="15">
        <v>17</v>
      </c>
      <c r="DC34" s="15">
        <f t="shared" si="113"/>
        <v>0</v>
      </c>
      <c r="DD34" s="15">
        <f t="shared" si="114"/>
        <v>102</v>
      </c>
      <c r="DE34" s="16"/>
      <c r="DF34" s="15">
        <v>26</v>
      </c>
      <c r="DG34" s="15">
        <f t="shared" si="115"/>
        <v>0</v>
      </c>
      <c r="DH34" s="15">
        <f t="shared" si="116"/>
        <v>156</v>
      </c>
      <c r="DI34" s="16"/>
      <c r="DJ34" s="15"/>
      <c r="DK34" s="15">
        <f t="shared" si="117"/>
        <v>0</v>
      </c>
      <c r="DL34" s="15">
        <f t="shared" si="118"/>
        <v>0</v>
      </c>
      <c r="DM34" s="16"/>
      <c r="DN34" s="15"/>
      <c r="DO34" s="15">
        <f t="shared" si="119"/>
        <v>0</v>
      </c>
      <c r="DP34" s="15">
        <f t="shared" si="120"/>
        <v>0</v>
      </c>
      <c r="DQ34" s="16"/>
      <c r="DR34" s="15"/>
      <c r="DS34" s="15">
        <f t="shared" si="121"/>
        <v>0</v>
      </c>
      <c r="DT34" s="15">
        <f t="shared" si="122"/>
        <v>0</v>
      </c>
      <c r="DU34" s="16"/>
      <c r="DV34" s="15"/>
      <c r="DW34" s="15"/>
      <c r="DX34" s="15">
        <f t="shared" si="123"/>
        <v>0</v>
      </c>
      <c r="DZ34" s="15">
        <f t="shared" si="124"/>
        <v>43</v>
      </c>
      <c r="EA34" s="15">
        <f t="shared" si="125"/>
        <v>16</v>
      </c>
    </row>
    <row r="35" spans="1:131" s="14" customFormat="1" x14ac:dyDescent="0.2">
      <c r="A35" s="15">
        <v>2</v>
      </c>
      <c r="B35" s="14" t="s">
        <v>58</v>
      </c>
      <c r="C35" s="15">
        <v>0</v>
      </c>
      <c r="D35" s="15">
        <v>1</v>
      </c>
      <c r="E35" s="16"/>
      <c r="F35" s="15">
        <v>51</v>
      </c>
      <c r="G35" s="15">
        <f t="shared" si="63"/>
        <v>0</v>
      </c>
      <c r="H35" s="15">
        <f t="shared" si="64"/>
        <v>306</v>
      </c>
      <c r="I35" s="16"/>
      <c r="J35" s="15">
        <v>60</v>
      </c>
      <c r="K35" s="15">
        <f t="shared" si="65"/>
        <v>0</v>
      </c>
      <c r="L35" s="15">
        <f t="shared" si="66"/>
        <v>360</v>
      </c>
      <c r="M35" s="16"/>
      <c r="N35" s="15">
        <v>60</v>
      </c>
      <c r="O35" s="15">
        <f t="shared" si="67"/>
        <v>0</v>
      </c>
      <c r="P35" s="15">
        <f t="shared" si="68"/>
        <v>360</v>
      </c>
      <c r="Q35" s="16"/>
      <c r="R35" s="15">
        <v>63</v>
      </c>
      <c r="S35" s="15">
        <f t="shared" si="69"/>
        <v>0</v>
      </c>
      <c r="T35" s="15">
        <f t="shared" si="70"/>
        <v>378</v>
      </c>
      <c r="U35" s="16"/>
      <c r="V35" s="15">
        <v>62</v>
      </c>
      <c r="W35" s="15">
        <f t="shared" si="71"/>
        <v>0</v>
      </c>
      <c r="X35" s="15">
        <f t="shared" si="72"/>
        <v>372</v>
      </c>
      <c r="Y35" s="16"/>
      <c r="Z35" s="15">
        <v>47</v>
      </c>
      <c r="AA35" s="15">
        <f t="shared" si="73"/>
        <v>0</v>
      </c>
      <c r="AB35" s="15">
        <f t="shared" si="74"/>
        <v>282</v>
      </c>
      <c r="AC35" s="16"/>
      <c r="AD35" s="15">
        <v>62</v>
      </c>
      <c r="AE35" s="15">
        <f t="shared" si="75"/>
        <v>0</v>
      </c>
      <c r="AF35" s="15">
        <f t="shared" si="76"/>
        <v>372</v>
      </c>
      <c r="AG35" s="16"/>
      <c r="AH35" s="15">
        <v>60</v>
      </c>
      <c r="AI35" s="15">
        <f t="shared" si="77"/>
        <v>0</v>
      </c>
      <c r="AJ35" s="15">
        <f t="shared" si="78"/>
        <v>360</v>
      </c>
      <c r="AK35" s="16"/>
      <c r="AL35" s="15">
        <v>58</v>
      </c>
      <c r="AM35" s="15">
        <f t="shared" si="79"/>
        <v>0</v>
      </c>
      <c r="AN35" s="15">
        <f t="shared" si="80"/>
        <v>348</v>
      </c>
      <c r="AO35" s="16"/>
      <c r="AP35" s="15">
        <v>60</v>
      </c>
      <c r="AQ35" s="15">
        <f t="shared" si="81"/>
        <v>0</v>
      </c>
      <c r="AR35" s="15">
        <f t="shared" si="82"/>
        <v>360</v>
      </c>
      <c r="AS35" s="16"/>
      <c r="AT35" s="15">
        <v>58</v>
      </c>
      <c r="AU35" s="15">
        <f t="shared" si="83"/>
        <v>0</v>
      </c>
      <c r="AV35" s="15">
        <f t="shared" si="84"/>
        <v>348</v>
      </c>
      <c r="AW35" s="16"/>
      <c r="AX35" s="15">
        <v>60</v>
      </c>
      <c r="AY35" s="15">
        <f t="shared" si="85"/>
        <v>0</v>
      </c>
      <c r="AZ35" s="15">
        <f t="shared" si="86"/>
        <v>360</v>
      </c>
      <c r="BA35" s="16"/>
      <c r="BB35" s="15">
        <v>58</v>
      </c>
      <c r="BC35" s="15">
        <f t="shared" si="87"/>
        <v>0</v>
      </c>
      <c r="BD35" s="15">
        <f t="shared" si="88"/>
        <v>348</v>
      </c>
      <c r="BE35" s="16"/>
      <c r="BF35" s="15">
        <v>60</v>
      </c>
      <c r="BG35" s="15">
        <f t="shared" si="89"/>
        <v>0</v>
      </c>
      <c r="BH35" s="15">
        <f t="shared" si="90"/>
        <v>360</v>
      </c>
      <c r="BI35" s="16"/>
      <c r="BJ35" s="15">
        <v>55</v>
      </c>
      <c r="BK35" s="15">
        <f t="shared" si="91"/>
        <v>0</v>
      </c>
      <c r="BL35" s="15">
        <f t="shared" si="92"/>
        <v>330</v>
      </c>
      <c r="BM35" s="16"/>
      <c r="BN35" s="15">
        <v>57</v>
      </c>
      <c r="BO35" s="15">
        <f t="shared" si="93"/>
        <v>0</v>
      </c>
      <c r="BP35" s="15">
        <f t="shared" si="94"/>
        <v>342</v>
      </c>
      <c r="BQ35" s="16"/>
      <c r="BR35" s="15">
        <v>52</v>
      </c>
      <c r="BS35" s="15">
        <f t="shared" si="95"/>
        <v>0</v>
      </c>
      <c r="BT35" s="15">
        <f t="shared" si="96"/>
        <v>312</v>
      </c>
      <c r="BU35" s="16"/>
      <c r="BV35" s="15">
        <v>59</v>
      </c>
      <c r="BW35" s="15">
        <f t="shared" si="97"/>
        <v>0</v>
      </c>
      <c r="BX35" s="15">
        <f t="shared" si="98"/>
        <v>354</v>
      </c>
      <c r="BY35" s="16"/>
      <c r="BZ35" s="15">
        <v>63</v>
      </c>
      <c r="CA35" s="15">
        <f t="shared" si="99"/>
        <v>0</v>
      </c>
      <c r="CB35" s="15">
        <f t="shared" si="100"/>
        <v>378</v>
      </c>
      <c r="CC35" s="16"/>
      <c r="CD35" s="15">
        <v>60</v>
      </c>
      <c r="CE35" s="15">
        <f t="shared" si="101"/>
        <v>0</v>
      </c>
      <c r="CF35" s="15">
        <f t="shared" si="102"/>
        <v>360</v>
      </c>
      <c r="CG35" s="16"/>
      <c r="CH35" s="15">
        <v>55</v>
      </c>
      <c r="CI35" s="15">
        <f t="shared" si="103"/>
        <v>0</v>
      </c>
      <c r="CJ35" s="15">
        <f t="shared" si="104"/>
        <v>330</v>
      </c>
      <c r="CK35" s="16"/>
      <c r="CL35" s="15">
        <v>62</v>
      </c>
      <c r="CM35" s="15">
        <f t="shared" si="105"/>
        <v>0</v>
      </c>
      <c r="CN35" s="15">
        <f t="shared" si="106"/>
        <v>372</v>
      </c>
      <c r="CO35" s="16"/>
      <c r="CP35" s="15">
        <v>63</v>
      </c>
      <c r="CQ35" s="15">
        <f t="shared" si="107"/>
        <v>0</v>
      </c>
      <c r="CR35" s="15">
        <f t="shared" si="108"/>
        <v>378</v>
      </c>
      <c r="CS35" s="16"/>
      <c r="CT35" s="15">
        <v>63</v>
      </c>
      <c r="CU35" s="15">
        <f t="shared" si="109"/>
        <v>0</v>
      </c>
      <c r="CV35" s="15">
        <f t="shared" si="110"/>
        <v>378</v>
      </c>
      <c r="CW35" s="16"/>
      <c r="CX35" s="15">
        <v>62</v>
      </c>
      <c r="CY35" s="15">
        <f t="shared" si="111"/>
        <v>0</v>
      </c>
      <c r="CZ35" s="15">
        <f t="shared" si="112"/>
        <v>372</v>
      </c>
      <c r="DA35" s="16"/>
      <c r="DB35" s="15">
        <v>55</v>
      </c>
      <c r="DC35" s="15">
        <f t="shared" si="113"/>
        <v>0</v>
      </c>
      <c r="DD35" s="15">
        <f t="shared" si="114"/>
        <v>330</v>
      </c>
      <c r="DE35" s="16"/>
      <c r="DF35" s="15">
        <v>59</v>
      </c>
      <c r="DG35" s="15">
        <f t="shared" si="115"/>
        <v>0</v>
      </c>
      <c r="DH35" s="15">
        <f t="shared" si="116"/>
        <v>354</v>
      </c>
      <c r="DI35" s="16"/>
      <c r="DJ35" s="15"/>
      <c r="DK35" s="15">
        <f t="shared" si="117"/>
        <v>0</v>
      </c>
      <c r="DL35" s="15">
        <f t="shared" si="118"/>
        <v>0</v>
      </c>
      <c r="DM35" s="16"/>
      <c r="DN35" s="15"/>
      <c r="DO35" s="15">
        <f t="shared" si="119"/>
        <v>0</v>
      </c>
      <c r="DP35" s="15">
        <f t="shared" si="120"/>
        <v>0</v>
      </c>
      <c r="DQ35" s="16"/>
      <c r="DR35" s="15"/>
      <c r="DS35" s="15">
        <f t="shared" si="121"/>
        <v>0</v>
      </c>
      <c r="DT35" s="15">
        <f t="shared" si="122"/>
        <v>0</v>
      </c>
      <c r="DU35" s="16"/>
      <c r="DV35" s="15"/>
      <c r="DW35" s="15"/>
      <c r="DX35" s="15">
        <f t="shared" si="123"/>
        <v>0</v>
      </c>
      <c r="DZ35" s="15">
        <f t="shared" si="124"/>
        <v>63</v>
      </c>
      <c r="EA35" s="15">
        <f t="shared" si="125"/>
        <v>47</v>
      </c>
    </row>
    <row r="36" spans="1:131" s="14" customFormat="1" x14ac:dyDescent="0.2">
      <c r="A36" s="15">
        <v>15</v>
      </c>
      <c r="B36" s="14" t="s">
        <v>59</v>
      </c>
      <c r="C36" s="15">
        <v>0</v>
      </c>
      <c r="D36" s="15">
        <v>1</v>
      </c>
      <c r="E36" s="16"/>
      <c r="F36" s="15">
        <v>6</v>
      </c>
      <c r="G36" s="15">
        <f t="shared" si="63"/>
        <v>0</v>
      </c>
      <c r="H36" s="15">
        <f t="shared" si="64"/>
        <v>36</v>
      </c>
      <c r="I36" s="16"/>
      <c r="J36" s="15">
        <v>6</v>
      </c>
      <c r="K36" s="15">
        <f t="shared" si="65"/>
        <v>0</v>
      </c>
      <c r="L36" s="15">
        <f t="shared" si="66"/>
        <v>36</v>
      </c>
      <c r="M36" s="16"/>
      <c r="N36" s="15">
        <v>5</v>
      </c>
      <c r="O36" s="15">
        <f t="shared" si="67"/>
        <v>0</v>
      </c>
      <c r="P36" s="15">
        <f t="shared" si="68"/>
        <v>30</v>
      </c>
      <c r="Q36" s="16"/>
      <c r="R36" s="15">
        <v>9</v>
      </c>
      <c r="S36" s="15">
        <f t="shared" si="69"/>
        <v>0</v>
      </c>
      <c r="T36" s="15">
        <f t="shared" si="70"/>
        <v>54</v>
      </c>
      <c r="U36" s="16"/>
      <c r="V36" s="15">
        <v>5</v>
      </c>
      <c r="W36" s="15">
        <f t="shared" si="71"/>
        <v>0</v>
      </c>
      <c r="X36" s="15">
        <f t="shared" si="72"/>
        <v>30</v>
      </c>
      <c r="Y36" s="16"/>
      <c r="Z36" s="15">
        <v>17</v>
      </c>
      <c r="AA36" s="15">
        <f t="shared" si="73"/>
        <v>0</v>
      </c>
      <c r="AB36" s="15">
        <f t="shared" si="74"/>
        <v>102</v>
      </c>
      <c r="AC36" s="16"/>
      <c r="AD36" s="15">
        <v>4</v>
      </c>
      <c r="AE36" s="15">
        <f t="shared" si="75"/>
        <v>0</v>
      </c>
      <c r="AF36" s="15">
        <f t="shared" si="76"/>
        <v>24</v>
      </c>
      <c r="AG36" s="16"/>
      <c r="AH36" s="15">
        <v>4</v>
      </c>
      <c r="AI36" s="15">
        <f t="shared" si="77"/>
        <v>0</v>
      </c>
      <c r="AJ36" s="15">
        <f t="shared" si="78"/>
        <v>24</v>
      </c>
      <c r="AK36" s="16"/>
      <c r="AL36" s="15">
        <v>7</v>
      </c>
      <c r="AM36" s="15">
        <f t="shared" si="79"/>
        <v>0</v>
      </c>
      <c r="AN36" s="15">
        <f t="shared" si="80"/>
        <v>42</v>
      </c>
      <c r="AO36" s="16"/>
      <c r="AP36" s="15">
        <v>7</v>
      </c>
      <c r="AQ36" s="15">
        <f t="shared" si="81"/>
        <v>0</v>
      </c>
      <c r="AR36" s="15">
        <f t="shared" si="82"/>
        <v>42</v>
      </c>
      <c r="AS36" s="16"/>
      <c r="AT36" s="15">
        <v>37</v>
      </c>
      <c r="AU36" s="15">
        <f t="shared" si="83"/>
        <v>0</v>
      </c>
      <c r="AV36" s="15">
        <f t="shared" si="84"/>
        <v>222</v>
      </c>
      <c r="AW36" s="16"/>
      <c r="AX36" s="15">
        <v>5</v>
      </c>
      <c r="AY36" s="15">
        <f t="shared" si="85"/>
        <v>0</v>
      </c>
      <c r="AZ36" s="15">
        <f t="shared" si="86"/>
        <v>30</v>
      </c>
      <c r="BA36" s="16"/>
      <c r="BB36" s="15">
        <v>5</v>
      </c>
      <c r="BC36" s="15">
        <f t="shared" si="87"/>
        <v>0</v>
      </c>
      <c r="BD36" s="15">
        <f t="shared" si="88"/>
        <v>30</v>
      </c>
      <c r="BE36" s="16"/>
      <c r="BF36" s="15">
        <v>8</v>
      </c>
      <c r="BG36" s="15">
        <f t="shared" si="89"/>
        <v>0</v>
      </c>
      <c r="BH36" s="15">
        <f t="shared" si="90"/>
        <v>48</v>
      </c>
      <c r="BI36" s="16"/>
      <c r="BJ36" s="15">
        <v>6</v>
      </c>
      <c r="BK36" s="15">
        <f t="shared" si="91"/>
        <v>0</v>
      </c>
      <c r="BL36" s="15">
        <f t="shared" si="92"/>
        <v>36</v>
      </c>
      <c r="BM36" s="16"/>
      <c r="BN36" s="15">
        <v>7</v>
      </c>
      <c r="BO36" s="15">
        <f t="shared" si="93"/>
        <v>0</v>
      </c>
      <c r="BP36" s="15">
        <f t="shared" si="94"/>
        <v>42</v>
      </c>
      <c r="BQ36" s="16"/>
      <c r="BR36" s="15">
        <v>10</v>
      </c>
      <c r="BS36" s="15">
        <f t="shared" si="95"/>
        <v>0</v>
      </c>
      <c r="BT36" s="15">
        <f t="shared" si="96"/>
        <v>60</v>
      </c>
      <c r="BU36" s="16"/>
      <c r="BV36" s="15">
        <v>16</v>
      </c>
      <c r="BW36" s="15">
        <f t="shared" si="97"/>
        <v>0</v>
      </c>
      <c r="BX36" s="15">
        <f t="shared" si="98"/>
        <v>96</v>
      </c>
      <c r="BY36" s="16"/>
      <c r="BZ36" s="15">
        <v>7</v>
      </c>
      <c r="CA36" s="15">
        <f t="shared" si="99"/>
        <v>0</v>
      </c>
      <c r="CB36" s="15">
        <f t="shared" si="100"/>
        <v>42</v>
      </c>
      <c r="CC36" s="16"/>
      <c r="CD36" s="15">
        <v>6</v>
      </c>
      <c r="CE36" s="15">
        <f t="shared" si="101"/>
        <v>0</v>
      </c>
      <c r="CF36" s="15">
        <f t="shared" si="102"/>
        <v>36</v>
      </c>
      <c r="CG36" s="16"/>
      <c r="CH36" s="15">
        <v>13</v>
      </c>
      <c r="CI36" s="15">
        <f t="shared" si="103"/>
        <v>0</v>
      </c>
      <c r="CJ36" s="15">
        <f t="shared" si="104"/>
        <v>78</v>
      </c>
      <c r="CK36" s="16"/>
      <c r="CL36" s="15">
        <v>15</v>
      </c>
      <c r="CM36" s="15">
        <f t="shared" si="105"/>
        <v>0</v>
      </c>
      <c r="CN36" s="15">
        <f t="shared" si="106"/>
        <v>90</v>
      </c>
      <c r="CO36" s="16"/>
      <c r="CP36" s="15">
        <v>10</v>
      </c>
      <c r="CQ36" s="15">
        <f t="shared" si="107"/>
        <v>0</v>
      </c>
      <c r="CR36" s="15">
        <f t="shared" si="108"/>
        <v>60</v>
      </c>
      <c r="CS36" s="16"/>
      <c r="CT36" s="15">
        <v>2</v>
      </c>
      <c r="CU36" s="15">
        <f t="shared" si="109"/>
        <v>0</v>
      </c>
      <c r="CV36" s="15">
        <f t="shared" si="110"/>
        <v>12</v>
      </c>
      <c r="CW36" s="16"/>
      <c r="CX36" s="15">
        <v>6</v>
      </c>
      <c r="CY36" s="15">
        <f t="shared" si="111"/>
        <v>0</v>
      </c>
      <c r="CZ36" s="15">
        <f t="shared" si="112"/>
        <v>36</v>
      </c>
      <c r="DA36" s="16"/>
      <c r="DB36" s="15">
        <v>7</v>
      </c>
      <c r="DC36" s="15">
        <f t="shared" si="113"/>
        <v>0</v>
      </c>
      <c r="DD36" s="15">
        <f t="shared" si="114"/>
        <v>42</v>
      </c>
      <c r="DE36" s="16"/>
      <c r="DF36" s="15">
        <v>6</v>
      </c>
      <c r="DG36" s="15">
        <f t="shared" si="115"/>
        <v>0</v>
      </c>
      <c r="DH36" s="15">
        <f t="shared" si="116"/>
        <v>36</v>
      </c>
      <c r="DI36" s="16"/>
      <c r="DJ36" s="15"/>
      <c r="DK36" s="15">
        <f t="shared" si="117"/>
        <v>0</v>
      </c>
      <c r="DL36" s="15">
        <f t="shared" si="118"/>
        <v>0</v>
      </c>
      <c r="DM36" s="16"/>
      <c r="DN36" s="15"/>
      <c r="DO36" s="15">
        <f t="shared" si="119"/>
        <v>0</v>
      </c>
      <c r="DP36" s="15">
        <f t="shared" si="120"/>
        <v>0</v>
      </c>
      <c r="DQ36" s="16"/>
      <c r="DR36" s="15"/>
      <c r="DS36" s="15">
        <f t="shared" si="121"/>
        <v>0</v>
      </c>
      <c r="DT36" s="15">
        <f t="shared" si="122"/>
        <v>0</v>
      </c>
      <c r="DU36" s="16"/>
      <c r="DV36" s="15"/>
      <c r="DW36" s="15"/>
      <c r="DX36" s="15">
        <f t="shared" si="123"/>
        <v>0</v>
      </c>
      <c r="DZ36" s="15">
        <f t="shared" si="124"/>
        <v>37</v>
      </c>
      <c r="EA36" s="15">
        <f t="shared" si="125"/>
        <v>4</v>
      </c>
    </row>
    <row r="37" spans="1:131" s="10" customFormat="1" x14ac:dyDescent="0.2">
      <c r="A37" s="9"/>
      <c r="B37" s="10" t="s">
        <v>60</v>
      </c>
      <c r="C37" s="9"/>
      <c r="D37" s="9"/>
      <c r="E37" s="12"/>
      <c r="F37" s="9">
        <f>SUM(F21:F36)</f>
        <v>512</v>
      </c>
      <c r="G37" s="9">
        <f>SUM(G21:G36)</f>
        <v>0</v>
      </c>
      <c r="H37" s="9">
        <f>SUM(H21:H36)</f>
        <v>3072</v>
      </c>
      <c r="I37" s="12"/>
      <c r="J37" s="9">
        <f>SUM(J21:J36)</f>
        <v>526</v>
      </c>
      <c r="K37" s="9">
        <f>SUM(K21:K36)</f>
        <v>0</v>
      </c>
      <c r="L37" s="9">
        <f>SUM(L21:L36)</f>
        <v>3156</v>
      </c>
      <c r="M37" s="12"/>
      <c r="N37" s="9">
        <f>SUM(N21:N36)</f>
        <v>532</v>
      </c>
      <c r="O37" s="9">
        <f>SUM(O21:O36)</f>
        <v>0</v>
      </c>
      <c r="P37" s="9">
        <f>SUM(P21:P36)</f>
        <v>3192</v>
      </c>
      <c r="Q37" s="12"/>
      <c r="R37" s="9">
        <f>SUM(R21:R36)</f>
        <v>536</v>
      </c>
      <c r="S37" s="9">
        <f>SUM(S21:S36)</f>
        <v>0</v>
      </c>
      <c r="T37" s="9">
        <f>SUM(T21:T36)</f>
        <v>3216</v>
      </c>
      <c r="U37" s="12"/>
      <c r="V37" s="9">
        <f>SUM(V21:V36)</f>
        <v>507</v>
      </c>
      <c r="W37" s="9">
        <f>SUM(W21:W36)</f>
        <v>0</v>
      </c>
      <c r="X37" s="9">
        <f>SUM(X21:X36)</f>
        <v>3042</v>
      </c>
      <c r="Y37" s="12"/>
      <c r="Z37" s="9">
        <f>SUM(Z21:Z36)</f>
        <v>451</v>
      </c>
      <c r="AA37" s="9">
        <f>SUM(AA21:AA36)</f>
        <v>0</v>
      </c>
      <c r="AB37" s="9">
        <f>SUM(AB21:AB36)</f>
        <v>2706</v>
      </c>
      <c r="AC37" s="12"/>
      <c r="AD37" s="9">
        <f>SUM(AD21:AD36)</f>
        <v>548</v>
      </c>
      <c r="AE37" s="9">
        <f>SUM(AE21:AE36)</f>
        <v>0</v>
      </c>
      <c r="AF37" s="9">
        <f>SUM(AF21:AF36)</f>
        <v>3288</v>
      </c>
      <c r="AG37" s="12"/>
      <c r="AH37" s="9">
        <f>SUM(AH21:AH36)</f>
        <v>529</v>
      </c>
      <c r="AI37" s="9">
        <f>SUM(AI21:AI36)</f>
        <v>0</v>
      </c>
      <c r="AJ37" s="9">
        <f>SUM(AJ21:AJ36)</f>
        <v>3174</v>
      </c>
      <c r="AK37" s="12"/>
      <c r="AL37" s="9">
        <f>SUM(AL21:AL36)</f>
        <v>532</v>
      </c>
      <c r="AM37" s="9">
        <f>SUM(AM21:AM36)</f>
        <v>0</v>
      </c>
      <c r="AN37" s="9">
        <f>SUM(AN21:AN36)</f>
        <v>3192</v>
      </c>
      <c r="AO37" s="12"/>
      <c r="AP37" s="9">
        <f>SUM(AP21:AP36)</f>
        <v>526</v>
      </c>
      <c r="AQ37" s="9">
        <f>SUM(AQ21:AQ36)</f>
        <v>0</v>
      </c>
      <c r="AR37" s="9">
        <f>SUM(AR21:AR36)</f>
        <v>3156</v>
      </c>
      <c r="AS37" s="12"/>
      <c r="AT37" s="9">
        <f>SUM(AT21:AT36)</f>
        <v>527</v>
      </c>
      <c r="AU37" s="9">
        <f>SUM(AU21:AU36)</f>
        <v>0</v>
      </c>
      <c r="AV37" s="9">
        <f>SUM(AV21:AV36)</f>
        <v>3162</v>
      </c>
      <c r="AW37" s="12"/>
      <c r="AX37" s="9">
        <f>SUM(AX21:AX36)</f>
        <v>525</v>
      </c>
      <c r="AY37" s="9">
        <f>SUM(AY21:AY36)</f>
        <v>0</v>
      </c>
      <c r="AZ37" s="9">
        <f>SUM(AZ21:AZ36)</f>
        <v>3150</v>
      </c>
      <c r="BA37" s="12"/>
      <c r="BB37" s="9">
        <f>SUM(BB21:BB36)</f>
        <v>501</v>
      </c>
      <c r="BC37" s="9">
        <f>SUM(BC21:BC36)</f>
        <v>0</v>
      </c>
      <c r="BD37" s="9">
        <f>SUM(BD21:BD36)</f>
        <v>3006</v>
      </c>
      <c r="BE37" s="12"/>
      <c r="BF37" s="9">
        <f>SUM(BF21:BF36)</f>
        <v>520</v>
      </c>
      <c r="BG37" s="9">
        <f>SUM(BG21:BG36)</f>
        <v>0</v>
      </c>
      <c r="BH37" s="9">
        <f>SUM(BH21:BH36)</f>
        <v>3120</v>
      </c>
      <c r="BI37" s="12"/>
      <c r="BJ37" s="9">
        <f>SUM(BJ21:BJ36)</f>
        <v>507</v>
      </c>
      <c r="BK37" s="9">
        <f>SUM(BK21:BK36)</f>
        <v>0</v>
      </c>
      <c r="BL37" s="9">
        <f>SUM(BL21:BL36)</f>
        <v>3042</v>
      </c>
      <c r="BM37" s="12"/>
      <c r="BN37" s="9">
        <f>SUM(BN21:BN36)</f>
        <v>531</v>
      </c>
      <c r="BO37" s="9">
        <f>SUM(BO21:BO36)</f>
        <v>0</v>
      </c>
      <c r="BP37" s="9">
        <f>SUM(BP21:BP36)</f>
        <v>3186</v>
      </c>
      <c r="BQ37" s="12"/>
      <c r="BR37" s="9">
        <f>SUM(BR21:BR36)</f>
        <v>489</v>
      </c>
      <c r="BS37" s="9">
        <f>SUM(BS21:BS36)</f>
        <v>0</v>
      </c>
      <c r="BT37" s="9">
        <f>SUM(BT21:BT36)</f>
        <v>2934</v>
      </c>
      <c r="BU37" s="12"/>
      <c r="BV37" s="9">
        <f>SUM(BV21:BV36)</f>
        <v>505</v>
      </c>
      <c r="BW37" s="9">
        <f>SUM(BW21:BW36)</f>
        <v>0</v>
      </c>
      <c r="BX37" s="9">
        <f>SUM(BX21:BX36)</f>
        <v>3030</v>
      </c>
      <c r="BY37" s="12"/>
      <c r="BZ37" s="9">
        <f>SUM(BZ21:BZ36)</f>
        <v>541</v>
      </c>
      <c r="CA37" s="9">
        <f>SUM(CA21:CA36)</f>
        <v>0</v>
      </c>
      <c r="CB37" s="9">
        <f>SUM(CB21:CB36)</f>
        <v>3246</v>
      </c>
      <c r="CC37" s="12"/>
      <c r="CD37" s="9">
        <f>SUM(CD21:CD36)</f>
        <v>505</v>
      </c>
      <c r="CE37" s="9">
        <f>SUM(CE21:CE36)</f>
        <v>0</v>
      </c>
      <c r="CF37" s="9">
        <f>SUM(CF21:CF36)</f>
        <v>3030</v>
      </c>
      <c r="CG37" s="12"/>
      <c r="CH37" s="9">
        <f>SUM(CH21:CH36)</f>
        <v>554</v>
      </c>
      <c r="CI37" s="9">
        <f>SUM(CI21:CI36)</f>
        <v>0</v>
      </c>
      <c r="CJ37" s="9">
        <f>SUM(CJ21:CJ36)</f>
        <v>3324</v>
      </c>
      <c r="CK37" s="12"/>
      <c r="CL37" s="9">
        <f>SUM(CL21:CL36)</f>
        <v>536</v>
      </c>
      <c r="CM37" s="9">
        <f>SUM(CM21:CM36)</f>
        <v>0</v>
      </c>
      <c r="CN37" s="9">
        <f>SUM(CN21:CN36)</f>
        <v>3216</v>
      </c>
      <c r="CO37" s="12"/>
      <c r="CP37" s="9">
        <f>SUM(CP21:CP36)</f>
        <v>553</v>
      </c>
      <c r="CQ37" s="9">
        <f>SUM(CQ21:CQ36)</f>
        <v>0</v>
      </c>
      <c r="CR37" s="9">
        <f>SUM(CR21:CR36)</f>
        <v>3318</v>
      </c>
      <c r="CS37" s="12"/>
      <c r="CT37" s="9">
        <f>SUM(CT21:CT36)</f>
        <v>519</v>
      </c>
      <c r="CU37" s="9">
        <f>SUM(CU21:CU36)</f>
        <v>0</v>
      </c>
      <c r="CV37" s="9">
        <f>SUM(CV21:CV36)</f>
        <v>3114</v>
      </c>
      <c r="CW37" s="12"/>
      <c r="CX37" s="9">
        <f>SUM(CX21:CX36)</f>
        <v>504</v>
      </c>
      <c r="CY37" s="9">
        <f>SUM(CY21:CY36)</f>
        <v>0</v>
      </c>
      <c r="CZ37" s="9">
        <f>SUM(CZ21:CZ36)</f>
        <v>3024</v>
      </c>
      <c r="DA37" s="12"/>
      <c r="DB37" s="9">
        <f>SUM(DB21:DB36)</f>
        <v>538</v>
      </c>
      <c r="DC37" s="9">
        <f>SUM(DC21:DC36)</f>
        <v>0</v>
      </c>
      <c r="DD37" s="9">
        <f>SUM(DD21:DD36)</f>
        <v>3228</v>
      </c>
      <c r="DE37" s="12"/>
      <c r="DF37" s="9">
        <f>SUM(DF21:DF36)</f>
        <v>521</v>
      </c>
      <c r="DG37" s="9">
        <f>SUM(DG21:DG36)</f>
        <v>0</v>
      </c>
      <c r="DH37" s="9">
        <f>SUM(DH21:DH36)</f>
        <v>3126</v>
      </c>
      <c r="DI37" s="12"/>
      <c r="DJ37" s="9">
        <f>SUM(DJ21:DJ36)</f>
        <v>0</v>
      </c>
      <c r="DK37" s="9">
        <f>SUM(DK21:DK36)</f>
        <v>0</v>
      </c>
      <c r="DL37" s="9">
        <f>SUM(DL21:DL36)</f>
        <v>0</v>
      </c>
      <c r="DM37" s="12"/>
      <c r="DN37" s="9">
        <f>SUM(DN21:DN36)</f>
        <v>0</v>
      </c>
      <c r="DO37" s="9">
        <f>SUM(DO21:DO36)</f>
        <v>0</v>
      </c>
      <c r="DP37" s="9">
        <f>SUM(DP21:DP36)</f>
        <v>0</v>
      </c>
      <c r="DQ37" s="12"/>
      <c r="DR37" s="9">
        <f>SUM(DR21:DR36)</f>
        <v>0</v>
      </c>
      <c r="DS37" s="9">
        <f>SUM(DS21:DS36)</f>
        <v>0</v>
      </c>
      <c r="DT37" s="9">
        <f>SUM(DT21:DT36)</f>
        <v>0</v>
      </c>
      <c r="DU37" s="12"/>
      <c r="DV37" s="9"/>
      <c r="DW37" s="9"/>
      <c r="DX37" s="9"/>
      <c r="DZ37" s="9"/>
      <c r="EA37" s="9"/>
    </row>
    <row r="38" spans="1:131" x14ac:dyDescent="0.2">
      <c r="A38" s="5"/>
      <c r="E38" s="12"/>
      <c r="I38" s="12"/>
      <c r="M38" s="12"/>
      <c r="Q38" s="12"/>
      <c r="R38" s="5"/>
      <c r="S38" s="5"/>
      <c r="T38" s="5"/>
      <c r="U38" s="12"/>
      <c r="V38" s="5"/>
      <c r="W38" s="5"/>
      <c r="X38" s="5"/>
      <c r="Y38" s="12"/>
      <c r="Z38" s="5"/>
      <c r="AA38" s="5"/>
      <c r="AB38" s="5"/>
      <c r="AC38" s="12"/>
      <c r="AD38" s="5"/>
      <c r="AE38" s="5"/>
      <c r="AF38" s="5"/>
      <c r="AG38" s="12"/>
      <c r="AH38" s="5"/>
      <c r="AI38" s="5"/>
      <c r="AJ38" s="5"/>
      <c r="AK38" s="12"/>
      <c r="AL38" s="5"/>
      <c r="AM38" s="5"/>
      <c r="AN38" s="5"/>
      <c r="AO38" s="12"/>
      <c r="AP38" s="5"/>
      <c r="AQ38" s="5"/>
      <c r="AR38" s="5"/>
      <c r="AS38" s="12"/>
      <c r="AT38" s="5"/>
      <c r="AU38" s="5"/>
      <c r="AV38" s="5"/>
      <c r="AW38" s="12"/>
      <c r="AX38" s="5"/>
      <c r="AY38" s="5"/>
      <c r="AZ38" s="5"/>
      <c r="BA38" s="12"/>
      <c r="BB38" s="5"/>
      <c r="BC38" s="5"/>
      <c r="BD38" s="5"/>
      <c r="BE38" s="12"/>
      <c r="BF38" s="5"/>
      <c r="BG38" s="5"/>
      <c r="BH38" s="5"/>
      <c r="BI38" s="12"/>
      <c r="BJ38" s="5"/>
      <c r="BK38" s="5"/>
      <c r="BL38" s="5"/>
      <c r="BM38" s="12"/>
      <c r="BN38" s="5"/>
      <c r="BO38" s="5"/>
      <c r="BP38" s="5"/>
      <c r="BQ38" s="12"/>
      <c r="BR38" s="5"/>
      <c r="BS38" s="5"/>
      <c r="BT38" s="5"/>
      <c r="BU38" s="12"/>
      <c r="BV38" s="5"/>
      <c r="BW38" s="5"/>
      <c r="BX38" s="5"/>
      <c r="BY38" s="12"/>
      <c r="BZ38" s="5"/>
      <c r="CA38" s="5"/>
      <c r="CB38" s="5"/>
      <c r="CC38" s="12"/>
      <c r="CD38" s="5"/>
      <c r="CE38" s="5"/>
      <c r="CF38" s="5"/>
      <c r="CG38" s="12"/>
      <c r="CH38" s="5"/>
      <c r="CI38" s="5"/>
      <c r="CJ38" s="5"/>
      <c r="CK38" s="12"/>
      <c r="CL38" s="5"/>
      <c r="CM38" s="5"/>
      <c r="CN38" s="5"/>
      <c r="CO38" s="12"/>
      <c r="CP38" s="5"/>
      <c r="CQ38" s="5"/>
      <c r="CR38" s="5"/>
      <c r="CS38" s="12"/>
      <c r="CT38" s="5"/>
      <c r="CU38" s="5"/>
      <c r="CV38" s="5"/>
      <c r="CW38" s="12"/>
      <c r="CX38" s="5"/>
      <c r="CY38" s="5"/>
      <c r="CZ38" s="5"/>
      <c r="DA38" s="12"/>
      <c r="DB38" s="5"/>
      <c r="DC38" s="5"/>
      <c r="DD38" s="5"/>
      <c r="DE38" s="12"/>
      <c r="DF38" s="5"/>
      <c r="DG38" s="5"/>
      <c r="DH38" s="5"/>
      <c r="DI38" s="12"/>
      <c r="DJ38" s="5"/>
      <c r="DK38" s="5"/>
      <c r="DL38" s="5"/>
      <c r="DM38" s="12"/>
      <c r="DN38" s="5"/>
      <c r="DO38" s="5"/>
      <c r="DP38" s="5"/>
      <c r="DQ38" s="12"/>
      <c r="DR38" s="5"/>
      <c r="DS38" s="5"/>
      <c r="DT38" s="5"/>
      <c r="DU38" s="12"/>
      <c r="DX38" s="5"/>
      <c r="DZ38" s="5"/>
      <c r="EA38" s="5"/>
    </row>
    <row r="39" spans="1:131" s="14" customFormat="1" x14ac:dyDescent="0.2">
      <c r="A39" s="15">
        <v>1</v>
      </c>
      <c r="B39" s="14" t="s">
        <v>61</v>
      </c>
      <c r="C39" s="15">
        <v>0</v>
      </c>
      <c r="D39" s="15">
        <v>1</v>
      </c>
      <c r="E39" s="16"/>
      <c r="F39" s="15">
        <v>60</v>
      </c>
      <c r="G39" s="15">
        <f t="shared" ref="G39:G54" si="126">$C39*F39</f>
        <v>0</v>
      </c>
      <c r="H39" s="15">
        <f t="shared" ref="H39:H54" si="127">$D39*(6-$C39)*F39</f>
        <v>360</v>
      </c>
      <c r="I39" s="16"/>
      <c r="J39" s="15">
        <v>63</v>
      </c>
      <c r="K39" s="15">
        <f t="shared" ref="K39:K54" si="128">$C39*J39</f>
        <v>0</v>
      </c>
      <c r="L39" s="15">
        <f t="shared" ref="L39:L54" si="129">$D39*(6-$C39)*J39</f>
        <v>378</v>
      </c>
      <c r="M39" s="16"/>
      <c r="N39" s="15">
        <v>62</v>
      </c>
      <c r="O39" s="15">
        <f t="shared" ref="O39:O54" si="130">$C39*N39</f>
        <v>0</v>
      </c>
      <c r="P39" s="15">
        <f t="shared" ref="P39:P54" si="131">$D39*(6-$C39)*N39</f>
        <v>372</v>
      </c>
      <c r="Q39" s="16"/>
      <c r="R39" s="15">
        <v>62</v>
      </c>
      <c r="S39" s="15">
        <f t="shared" ref="S39:S54" si="132">$C39*R39</f>
        <v>0</v>
      </c>
      <c r="T39" s="15">
        <f t="shared" ref="T39:T54" si="133">$D39*(6-$C39)*R39</f>
        <v>372</v>
      </c>
      <c r="U39" s="16"/>
      <c r="V39" s="15">
        <v>64</v>
      </c>
      <c r="W39" s="15">
        <f t="shared" ref="W39:W54" si="134">$C39*V39</f>
        <v>0</v>
      </c>
      <c r="X39" s="15">
        <f t="shared" ref="X39:X54" si="135">$D39*(6-$C39)*V39</f>
        <v>384</v>
      </c>
      <c r="Y39" s="16"/>
      <c r="Z39" s="15">
        <v>63</v>
      </c>
      <c r="AA39" s="15">
        <f t="shared" ref="AA39:AA54" si="136">$C39*Z39</f>
        <v>0</v>
      </c>
      <c r="AB39" s="15">
        <f t="shared" ref="AB39:AB54" si="137">$D39*(6-$C39)*Z39</f>
        <v>378</v>
      </c>
      <c r="AC39" s="16"/>
      <c r="AD39" s="15">
        <v>53</v>
      </c>
      <c r="AE39" s="15">
        <f t="shared" ref="AE39:AE54" si="138">$C39*AD39</f>
        <v>0</v>
      </c>
      <c r="AF39" s="15">
        <f t="shared" ref="AF39:AF54" si="139">$D39*(6-$C39)*AD39</f>
        <v>318</v>
      </c>
      <c r="AG39" s="16"/>
      <c r="AH39" s="15">
        <v>62</v>
      </c>
      <c r="AI39" s="15">
        <f t="shared" ref="AI39:AI54" si="140">$C39*AH39</f>
        <v>0</v>
      </c>
      <c r="AJ39" s="15">
        <f t="shared" ref="AJ39:AJ54" si="141">$D39*(6-$C39)*AH39</f>
        <v>372</v>
      </c>
      <c r="AK39" s="16"/>
      <c r="AL39" s="15">
        <v>63</v>
      </c>
      <c r="AM39" s="15">
        <f t="shared" ref="AM39:AM54" si="142">$C39*AL39</f>
        <v>0</v>
      </c>
      <c r="AN39" s="15">
        <f t="shared" ref="AN39:AN54" si="143">$D39*(6-$C39)*AL39</f>
        <v>378</v>
      </c>
      <c r="AO39" s="16"/>
      <c r="AP39" s="15">
        <v>62</v>
      </c>
      <c r="AQ39" s="15">
        <f t="shared" ref="AQ39:AQ54" si="144">$C39*AP39</f>
        <v>0</v>
      </c>
      <c r="AR39" s="15">
        <f t="shared" ref="AR39:AR54" si="145">$D39*(6-$C39)*AP39</f>
        <v>372</v>
      </c>
      <c r="AS39" s="16"/>
      <c r="AT39" s="15">
        <v>38</v>
      </c>
      <c r="AU39" s="15">
        <f t="shared" ref="AU39:AU54" si="146">$C39*AT39</f>
        <v>0</v>
      </c>
      <c r="AV39" s="15">
        <f t="shared" ref="AV39:AV54" si="147">$D39*(6-$C39)*AT39</f>
        <v>228</v>
      </c>
      <c r="AW39" s="16"/>
      <c r="AX39" s="15">
        <v>64</v>
      </c>
      <c r="AY39" s="15">
        <f t="shared" ref="AY39:AY54" si="148">$C39*AX39</f>
        <v>0</v>
      </c>
      <c r="AZ39" s="15">
        <f t="shared" ref="AZ39:AZ54" si="149">$D39*(6-$C39)*AX39</f>
        <v>384</v>
      </c>
      <c r="BA39" s="16"/>
      <c r="BB39" s="15">
        <v>64</v>
      </c>
      <c r="BC39" s="15">
        <f t="shared" ref="BC39:BC54" si="150">$C39*BB39</f>
        <v>0</v>
      </c>
      <c r="BD39" s="15">
        <f t="shared" ref="BD39:BD54" si="151">$D39*(6-$C39)*BB39</f>
        <v>384</v>
      </c>
      <c r="BE39" s="16"/>
      <c r="BF39" s="15">
        <v>62</v>
      </c>
      <c r="BG39" s="15">
        <f t="shared" ref="BG39:BG54" si="152">$C39*BF39</f>
        <v>0</v>
      </c>
      <c r="BH39" s="15">
        <f t="shared" ref="BH39:BH54" si="153">$D39*(6-$C39)*BF39</f>
        <v>372</v>
      </c>
      <c r="BI39" s="16"/>
      <c r="BJ39" s="15">
        <v>57</v>
      </c>
      <c r="BK39" s="15">
        <f t="shared" ref="BK39:BK54" si="154">$C39*BJ39</f>
        <v>0</v>
      </c>
      <c r="BL39" s="15">
        <f t="shared" ref="BL39:BL54" si="155">$D39*(6-$C39)*BJ39</f>
        <v>342</v>
      </c>
      <c r="BM39" s="16"/>
      <c r="BN39" s="15">
        <v>64</v>
      </c>
      <c r="BO39" s="15">
        <f t="shared" ref="BO39:BO54" si="156">$C39*BN39</f>
        <v>0</v>
      </c>
      <c r="BP39" s="15">
        <f t="shared" ref="BP39:BP54" si="157">$D39*(6-$C39)*BN39</f>
        <v>384</v>
      </c>
      <c r="BQ39" s="16"/>
      <c r="BR39" s="15">
        <v>54</v>
      </c>
      <c r="BS39" s="15">
        <f t="shared" ref="BS39:BS54" si="158">$C39*BR39</f>
        <v>0</v>
      </c>
      <c r="BT39" s="15">
        <f t="shared" ref="BT39:BT54" si="159">$D39*(6-$C39)*BR39</f>
        <v>324</v>
      </c>
      <c r="BU39" s="16"/>
      <c r="BV39" s="15">
        <v>64</v>
      </c>
      <c r="BW39" s="15">
        <f t="shared" ref="BW39:BW54" si="160">$C39*BV39</f>
        <v>0</v>
      </c>
      <c r="BX39" s="15">
        <f t="shared" ref="BX39:BX54" si="161">$D39*(6-$C39)*BV39</f>
        <v>384</v>
      </c>
      <c r="BY39" s="16"/>
      <c r="BZ39" s="15">
        <v>60</v>
      </c>
      <c r="CA39" s="15">
        <f t="shared" ref="CA39:CA54" si="162">$C39*BZ39</f>
        <v>0</v>
      </c>
      <c r="CB39" s="15">
        <f t="shared" ref="CB39:CB54" si="163">$D39*(6-$C39)*BZ39</f>
        <v>360</v>
      </c>
      <c r="CC39" s="16"/>
      <c r="CD39" s="15">
        <v>64</v>
      </c>
      <c r="CE39" s="15">
        <f t="shared" ref="CE39:CE54" si="164">$C39*CD39</f>
        <v>0</v>
      </c>
      <c r="CF39" s="15">
        <f t="shared" ref="CF39:CF54" si="165">$D39*(6-$C39)*CD39</f>
        <v>384</v>
      </c>
      <c r="CG39" s="16"/>
      <c r="CH39" s="15">
        <v>63</v>
      </c>
      <c r="CI39" s="15">
        <f t="shared" ref="CI39:CI54" si="166">$C39*CH39</f>
        <v>0</v>
      </c>
      <c r="CJ39" s="15">
        <f t="shared" ref="CJ39:CJ54" si="167">$D39*(6-$C39)*CH39</f>
        <v>378</v>
      </c>
      <c r="CK39" s="16"/>
      <c r="CL39" s="15">
        <v>63</v>
      </c>
      <c r="CM39" s="15">
        <f t="shared" ref="CM39:CM54" si="168">$C39*CL39</f>
        <v>0</v>
      </c>
      <c r="CN39" s="15">
        <f t="shared" ref="CN39:CN54" si="169">$D39*(6-$C39)*CL39</f>
        <v>378</v>
      </c>
      <c r="CO39" s="16"/>
      <c r="CP39" s="15">
        <v>64</v>
      </c>
      <c r="CQ39" s="15">
        <f t="shared" ref="CQ39:CQ54" si="170">$C39*CP39</f>
        <v>0</v>
      </c>
      <c r="CR39" s="15">
        <f t="shared" ref="CR39:CR54" si="171">$D39*(6-$C39)*CP39</f>
        <v>384</v>
      </c>
      <c r="CS39" s="16"/>
      <c r="CT39" s="15">
        <v>64</v>
      </c>
      <c r="CU39" s="15">
        <f t="shared" ref="CU39:CU54" si="172">$C39*CT39</f>
        <v>0</v>
      </c>
      <c r="CV39" s="15">
        <f t="shared" ref="CV39:CV54" si="173">$D39*(6-$C39)*CT39</f>
        <v>384</v>
      </c>
      <c r="CW39" s="16"/>
      <c r="CX39" s="15">
        <v>63</v>
      </c>
      <c r="CY39" s="15">
        <f t="shared" ref="CY39:CY54" si="174">$C39*CX39</f>
        <v>0</v>
      </c>
      <c r="CZ39" s="15">
        <f t="shared" ref="CZ39:CZ54" si="175">$D39*(6-$C39)*CX39</f>
        <v>378</v>
      </c>
      <c r="DA39" s="16"/>
      <c r="DB39" s="15">
        <v>62</v>
      </c>
      <c r="DC39" s="15">
        <f t="shared" ref="DC39:DC54" si="176">$C39*DB39</f>
        <v>0</v>
      </c>
      <c r="DD39" s="15">
        <f t="shared" ref="DD39:DD54" si="177">$D39*(6-$C39)*DB39</f>
        <v>372</v>
      </c>
      <c r="DE39" s="16"/>
      <c r="DF39" s="15">
        <v>62</v>
      </c>
      <c r="DG39" s="15">
        <f t="shared" ref="DG39:DG54" si="178">$C39*DF39</f>
        <v>0</v>
      </c>
      <c r="DH39" s="15">
        <f t="shared" ref="DH39:DH54" si="179">$D39*(6-$C39)*DF39</f>
        <v>372</v>
      </c>
      <c r="DI39" s="16"/>
      <c r="DJ39" s="15"/>
      <c r="DK39" s="15">
        <f t="shared" ref="DK39:DK54" si="180">$C39*DJ39</f>
        <v>0</v>
      </c>
      <c r="DL39" s="15">
        <f t="shared" ref="DL39:DL54" si="181">$D39*(6-$C39)*DJ39</f>
        <v>0</v>
      </c>
      <c r="DM39" s="16"/>
      <c r="DN39" s="15"/>
      <c r="DO39" s="15">
        <f t="shared" ref="DO39:DO54" si="182">$C39*DN39</f>
        <v>0</v>
      </c>
      <c r="DP39" s="15">
        <f t="shared" ref="DP39:DP54" si="183">$D39*(6-$C39)*DN39</f>
        <v>0</v>
      </c>
      <c r="DQ39" s="16"/>
      <c r="DR39" s="15"/>
      <c r="DS39" s="15">
        <f t="shared" ref="DS39:DS54" si="184">$C39*DR39</f>
        <v>0</v>
      </c>
      <c r="DT39" s="15">
        <f t="shared" ref="DT39:DT54" si="185">$D39*(6-$C39)*DR39</f>
        <v>0</v>
      </c>
      <c r="DU39" s="16"/>
      <c r="DV39" s="15"/>
      <c r="DW39" s="15"/>
      <c r="DX39" s="15">
        <f t="shared" ref="DX39:DX54" si="186">A39*C39</f>
        <v>0</v>
      </c>
      <c r="DZ39" s="15">
        <f t="shared" ref="DZ39:DZ54" si="187">MAX($F39,$J39,$N39,$R39,$V39,$Z39,$AD39,$AH39,$AL39,$AP39,$AT39,$AX39,$BB39,$BF39,$BJ39,$BN39,$BR39,$BV39,$BZ39,$CD39,$CH39,$CL39,$CP39)</f>
        <v>64</v>
      </c>
      <c r="EA39" s="15">
        <f t="shared" ref="EA39:EA54" si="188">MIN($F39,$J39,$N39,$R39,$V39,$Z39,$AD39,$AH39,$AL39,$AP39,$AT39,$AX39,$BB39,$BF39,$BJ39,$BN39,$BR39,$BV39,$BZ39,$CD39,$CH39,$CL39,$CP39)</f>
        <v>38</v>
      </c>
    </row>
    <row r="40" spans="1:131" s="14" customFormat="1" x14ac:dyDescent="0.2">
      <c r="A40" s="15">
        <v>16</v>
      </c>
      <c r="B40" s="32" t="s">
        <v>62</v>
      </c>
      <c r="C40" s="15">
        <v>0</v>
      </c>
      <c r="D40" s="15">
        <v>1</v>
      </c>
      <c r="E40" s="16"/>
      <c r="F40" s="15">
        <v>4</v>
      </c>
      <c r="G40" s="15">
        <f t="shared" si="126"/>
        <v>0</v>
      </c>
      <c r="H40" s="15">
        <f t="shared" si="127"/>
        <v>24</v>
      </c>
      <c r="I40" s="16"/>
      <c r="J40" s="15">
        <v>4</v>
      </c>
      <c r="K40" s="15">
        <f t="shared" si="128"/>
        <v>0</v>
      </c>
      <c r="L40" s="15">
        <f t="shared" si="129"/>
        <v>24</v>
      </c>
      <c r="M40" s="16"/>
      <c r="N40" s="15">
        <v>3</v>
      </c>
      <c r="O40" s="15">
        <f t="shared" si="130"/>
        <v>0</v>
      </c>
      <c r="P40" s="15">
        <f t="shared" si="131"/>
        <v>18</v>
      </c>
      <c r="Q40" s="16"/>
      <c r="R40" s="15">
        <v>4</v>
      </c>
      <c r="S40" s="15">
        <f t="shared" si="132"/>
        <v>0</v>
      </c>
      <c r="T40" s="15">
        <f t="shared" si="133"/>
        <v>24</v>
      </c>
      <c r="U40" s="16"/>
      <c r="V40" s="15">
        <v>1</v>
      </c>
      <c r="W40" s="15">
        <f t="shared" si="134"/>
        <v>0</v>
      </c>
      <c r="X40" s="15">
        <f t="shared" si="135"/>
        <v>6</v>
      </c>
      <c r="Y40" s="16"/>
      <c r="Z40" s="15">
        <v>18</v>
      </c>
      <c r="AA40" s="15">
        <f t="shared" si="136"/>
        <v>0</v>
      </c>
      <c r="AB40" s="15">
        <f t="shared" si="137"/>
        <v>108</v>
      </c>
      <c r="AC40" s="16"/>
      <c r="AD40" s="15">
        <v>5</v>
      </c>
      <c r="AE40" s="15">
        <f t="shared" si="138"/>
        <v>0</v>
      </c>
      <c r="AF40" s="15">
        <f t="shared" si="139"/>
        <v>30</v>
      </c>
      <c r="AG40" s="16"/>
      <c r="AH40" s="15">
        <v>1</v>
      </c>
      <c r="AI40" s="15">
        <f t="shared" si="140"/>
        <v>0</v>
      </c>
      <c r="AJ40" s="15">
        <f t="shared" si="141"/>
        <v>6</v>
      </c>
      <c r="AK40" s="16"/>
      <c r="AL40" s="15">
        <v>2</v>
      </c>
      <c r="AM40" s="15">
        <f t="shared" si="142"/>
        <v>0</v>
      </c>
      <c r="AN40" s="15">
        <f t="shared" si="143"/>
        <v>12</v>
      </c>
      <c r="AO40" s="16"/>
      <c r="AP40" s="15">
        <v>3</v>
      </c>
      <c r="AQ40" s="15">
        <f t="shared" si="144"/>
        <v>0</v>
      </c>
      <c r="AR40" s="15">
        <f t="shared" si="145"/>
        <v>18</v>
      </c>
      <c r="AS40" s="16"/>
      <c r="AT40" s="15">
        <v>12</v>
      </c>
      <c r="AU40" s="15">
        <f t="shared" si="146"/>
        <v>0</v>
      </c>
      <c r="AV40" s="15">
        <f t="shared" si="147"/>
        <v>72</v>
      </c>
      <c r="AW40" s="16"/>
      <c r="AX40" s="15">
        <v>3</v>
      </c>
      <c r="AY40" s="15">
        <f t="shared" si="148"/>
        <v>0</v>
      </c>
      <c r="AZ40" s="15">
        <f t="shared" si="149"/>
        <v>18</v>
      </c>
      <c r="BA40" s="16"/>
      <c r="BB40" s="15">
        <v>1</v>
      </c>
      <c r="BC40" s="15">
        <f t="shared" si="150"/>
        <v>0</v>
      </c>
      <c r="BD40" s="15">
        <f t="shared" si="151"/>
        <v>6</v>
      </c>
      <c r="BE40" s="16"/>
      <c r="BF40" s="15">
        <v>2</v>
      </c>
      <c r="BG40" s="15">
        <f t="shared" si="152"/>
        <v>0</v>
      </c>
      <c r="BH40" s="15">
        <f t="shared" si="153"/>
        <v>12</v>
      </c>
      <c r="BI40" s="16"/>
      <c r="BJ40" s="15">
        <v>3</v>
      </c>
      <c r="BK40" s="15">
        <f t="shared" si="154"/>
        <v>0</v>
      </c>
      <c r="BL40" s="15">
        <f t="shared" si="155"/>
        <v>18</v>
      </c>
      <c r="BM40" s="16"/>
      <c r="BN40" s="15">
        <v>3</v>
      </c>
      <c r="BO40" s="15">
        <f t="shared" si="156"/>
        <v>0</v>
      </c>
      <c r="BP40" s="15">
        <f t="shared" si="157"/>
        <v>18</v>
      </c>
      <c r="BQ40" s="16"/>
      <c r="BR40" s="15">
        <v>8</v>
      </c>
      <c r="BS40" s="15">
        <f t="shared" si="158"/>
        <v>0</v>
      </c>
      <c r="BT40" s="15">
        <f t="shared" si="159"/>
        <v>48</v>
      </c>
      <c r="BU40" s="16"/>
      <c r="BV40" s="15">
        <v>18</v>
      </c>
      <c r="BW40" s="15">
        <f t="shared" si="160"/>
        <v>0</v>
      </c>
      <c r="BX40" s="15">
        <f t="shared" si="161"/>
        <v>108</v>
      </c>
      <c r="BY40" s="16"/>
      <c r="BZ40" s="15">
        <v>1</v>
      </c>
      <c r="CA40" s="15">
        <f t="shared" si="162"/>
        <v>0</v>
      </c>
      <c r="CB40" s="15">
        <f t="shared" si="163"/>
        <v>6</v>
      </c>
      <c r="CC40" s="16"/>
      <c r="CD40" s="15">
        <v>3</v>
      </c>
      <c r="CE40" s="15">
        <f t="shared" si="164"/>
        <v>0</v>
      </c>
      <c r="CF40" s="15">
        <f t="shared" si="165"/>
        <v>18</v>
      </c>
      <c r="CG40" s="16"/>
      <c r="CH40" s="15">
        <v>3</v>
      </c>
      <c r="CI40" s="15">
        <f t="shared" si="166"/>
        <v>0</v>
      </c>
      <c r="CJ40" s="15">
        <f t="shared" si="167"/>
        <v>18</v>
      </c>
      <c r="CK40" s="16"/>
      <c r="CL40" s="15">
        <v>9</v>
      </c>
      <c r="CM40" s="15">
        <f t="shared" si="168"/>
        <v>0</v>
      </c>
      <c r="CN40" s="15">
        <f t="shared" si="169"/>
        <v>54</v>
      </c>
      <c r="CO40" s="16"/>
      <c r="CP40" s="15">
        <v>2</v>
      </c>
      <c r="CQ40" s="15">
        <f t="shared" si="170"/>
        <v>0</v>
      </c>
      <c r="CR40" s="15">
        <f t="shared" si="171"/>
        <v>12</v>
      </c>
      <c r="CS40" s="16"/>
      <c r="CT40" s="15">
        <v>1</v>
      </c>
      <c r="CU40" s="15">
        <f t="shared" si="172"/>
        <v>0</v>
      </c>
      <c r="CV40" s="15">
        <f t="shared" si="173"/>
        <v>6</v>
      </c>
      <c r="CW40" s="16"/>
      <c r="CX40" s="15">
        <v>3</v>
      </c>
      <c r="CY40" s="15">
        <f t="shared" si="174"/>
        <v>0</v>
      </c>
      <c r="CZ40" s="15">
        <f t="shared" si="175"/>
        <v>18</v>
      </c>
      <c r="DA40" s="16"/>
      <c r="DB40" s="15">
        <v>3</v>
      </c>
      <c r="DC40" s="15">
        <f t="shared" si="176"/>
        <v>0</v>
      </c>
      <c r="DD40" s="15">
        <f t="shared" si="177"/>
        <v>18</v>
      </c>
      <c r="DE40" s="16"/>
      <c r="DF40" s="15">
        <v>3</v>
      </c>
      <c r="DG40" s="15">
        <f t="shared" si="178"/>
        <v>0</v>
      </c>
      <c r="DH40" s="15">
        <f t="shared" si="179"/>
        <v>18</v>
      </c>
      <c r="DI40" s="16"/>
      <c r="DJ40" s="15"/>
      <c r="DK40" s="15">
        <f t="shared" si="180"/>
        <v>0</v>
      </c>
      <c r="DL40" s="15">
        <f t="shared" si="181"/>
        <v>0</v>
      </c>
      <c r="DM40" s="16"/>
      <c r="DN40" s="15"/>
      <c r="DO40" s="15">
        <f t="shared" si="182"/>
        <v>0</v>
      </c>
      <c r="DP40" s="15">
        <f t="shared" si="183"/>
        <v>0</v>
      </c>
      <c r="DQ40" s="16"/>
      <c r="DR40" s="15"/>
      <c r="DS40" s="15">
        <f t="shared" si="184"/>
        <v>0</v>
      </c>
      <c r="DT40" s="15">
        <f t="shared" si="185"/>
        <v>0</v>
      </c>
      <c r="DU40" s="16"/>
      <c r="DV40" s="15"/>
      <c r="DW40" s="15"/>
      <c r="DX40" s="15">
        <f t="shared" si="186"/>
        <v>0</v>
      </c>
      <c r="DZ40" s="15">
        <f t="shared" si="187"/>
        <v>18</v>
      </c>
      <c r="EA40" s="15">
        <f t="shared" si="188"/>
        <v>1</v>
      </c>
    </row>
    <row r="41" spans="1:131" s="14" customFormat="1" x14ac:dyDescent="0.2">
      <c r="A41" s="15">
        <v>8</v>
      </c>
      <c r="B41" s="14" t="s">
        <v>63</v>
      </c>
      <c r="C41" s="15">
        <v>0</v>
      </c>
      <c r="D41" s="15">
        <v>1</v>
      </c>
      <c r="E41" s="16"/>
      <c r="F41" s="15">
        <v>26</v>
      </c>
      <c r="G41" s="15">
        <f t="shared" si="126"/>
        <v>0</v>
      </c>
      <c r="H41" s="15">
        <f t="shared" si="127"/>
        <v>156</v>
      </c>
      <c r="I41" s="16"/>
      <c r="J41" s="15">
        <v>22</v>
      </c>
      <c r="K41" s="15">
        <f t="shared" si="128"/>
        <v>0</v>
      </c>
      <c r="L41" s="15">
        <f t="shared" si="129"/>
        <v>132</v>
      </c>
      <c r="M41" s="16"/>
      <c r="N41" s="15">
        <v>33</v>
      </c>
      <c r="O41" s="15">
        <f t="shared" si="130"/>
        <v>0</v>
      </c>
      <c r="P41" s="15">
        <f t="shared" si="131"/>
        <v>198</v>
      </c>
      <c r="Q41" s="16"/>
      <c r="R41" s="15">
        <v>40</v>
      </c>
      <c r="S41" s="15">
        <f t="shared" si="132"/>
        <v>0</v>
      </c>
      <c r="T41" s="15">
        <f t="shared" si="133"/>
        <v>240</v>
      </c>
      <c r="U41" s="16"/>
      <c r="V41" s="15">
        <v>20</v>
      </c>
      <c r="W41" s="15">
        <f t="shared" si="134"/>
        <v>0</v>
      </c>
      <c r="X41" s="15">
        <f t="shared" si="135"/>
        <v>120</v>
      </c>
      <c r="Y41" s="16"/>
      <c r="Z41" s="15">
        <v>51</v>
      </c>
      <c r="AA41" s="15">
        <f t="shared" si="136"/>
        <v>0</v>
      </c>
      <c r="AB41" s="15">
        <f t="shared" si="137"/>
        <v>306</v>
      </c>
      <c r="AC41" s="16"/>
      <c r="AD41" s="15">
        <v>44</v>
      </c>
      <c r="AE41" s="15">
        <f t="shared" si="138"/>
        <v>0</v>
      </c>
      <c r="AF41" s="15">
        <f t="shared" si="139"/>
        <v>264</v>
      </c>
      <c r="AG41" s="16"/>
      <c r="AH41" s="15">
        <v>32</v>
      </c>
      <c r="AI41" s="15">
        <f t="shared" si="140"/>
        <v>0</v>
      </c>
      <c r="AJ41" s="15">
        <f t="shared" si="141"/>
        <v>192</v>
      </c>
      <c r="AK41" s="16"/>
      <c r="AL41" s="15">
        <v>38</v>
      </c>
      <c r="AM41" s="15">
        <f t="shared" si="142"/>
        <v>0</v>
      </c>
      <c r="AN41" s="15">
        <f t="shared" si="143"/>
        <v>228</v>
      </c>
      <c r="AO41" s="16"/>
      <c r="AP41" s="15">
        <v>32</v>
      </c>
      <c r="AQ41" s="15">
        <f t="shared" si="144"/>
        <v>0</v>
      </c>
      <c r="AR41" s="15">
        <f t="shared" si="145"/>
        <v>192</v>
      </c>
      <c r="AS41" s="16"/>
      <c r="AT41" s="15">
        <v>49</v>
      </c>
      <c r="AU41" s="15">
        <f t="shared" si="146"/>
        <v>0</v>
      </c>
      <c r="AV41" s="15">
        <f t="shared" si="147"/>
        <v>294</v>
      </c>
      <c r="AW41" s="16"/>
      <c r="AX41" s="15">
        <v>39</v>
      </c>
      <c r="AY41" s="15">
        <f t="shared" si="148"/>
        <v>0</v>
      </c>
      <c r="AZ41" s="15">
        <f t="shared" si="149"/>
        <v>234</v>
      </c>
      <c r="BA41" s="16"/>
      <c r="BB41" s="15">
        <v>33</v>
      </c>
      <c r="BC41" s="15">
        <f t="shared" si="150"/>
        <v>0</v>
      </c>
      <c r="BD41" s="15">
        <f t="shared" si="151"/>
        <v>198</v>
      </c>
      <c r="BE41" s="16"/>
      <c r="BF41" s="15">
        <v>33</v>
      </c>
      <c r="BG41" s="15">
        <f t="shared" si="152"/>
        <v>0</v>
      </c>
      <c r="BH41" s="15">
        <f t="shared" si="153"/>
        <v>198</v>
      </c>
      <c r="BI41" s="16"/>
      <c r="BJ41" s="15">
        <v>38</v>
      </c>
      <c r="BK41" s="15">
        <f t="shared" si="154"/>
        <v>0</v>
      </c>
      <c r="BL41" s="15">
        <f t="shared" si="155"/>
        <v>228</v>
      </c>
      <c r="BM41" s="16"/>
      <c r="BN41" s="15">
        <v>26</v>
      </c>
      <c r="BO41" s="15">
        <f t="shared" si="156"/>
        <v>0</v>
      </c>
      <c r="BP41" s="15">
        <f t="shared" si="157"/>
        <v>156</v>
      </c>
      <c r="BQ41" s="16"/>
      <c r="BR41" s="15">
        <v>45</v>
      </c>
      <c r="BS41" s="15">
        <f t="shared" si="158"/>
        <v>0</v>
      </c>
      <c r="BT41" s="15">
        <f t="shared" si="159"/>
        <v>270</v>
      </c>
      <c r="BU41" s="16"/>
      <c r="BV41" s="15">
        <v>42</v>
      </c>
      <c r="BW41" s="15">
        <f t="shared" si="160"/>
        <v>0</v>
      </c>
      <c r="BX41" s="15">
        <f t="shared" si="161"/>
        <v>252</v>
      </c>
      <c r="BY41" s="16"/>
      <c r="BZ41" s="15">
        <v>23</v>
      </c>
      <c r="CA41" s="15">
        <f t="shared" si="162"/>
        <v>0</v>
      </c>
      <c r="CB41" s="15">
        <f t="shared" si="163"/>
        <v>138</v>
      </c>
      <c r="CC41" s="16"/>
      <c r="CD41" s="15">
        <v>31</v>
      </c>
      <c r="CE41" s="15">
        <f t="shared" si="164"/>
        <v>0</v>
      </c>
      <c r="CF41" s="15">
        <f t="shared" si="165"/>
        <v>186</v>
      </c>
      <c r="CG41" s="16"/>
      <c r="CH41" s="15">
        <v>33</v>
      </c>
      <c r="CI41" s="15">
        <f t="shared" si="166"/>
        <v>0</v>
      </c>
      <c r="CJ41" s="15">
        <f t="shared" si="167"/>
        <v>198</v>
      </c>
      <c r="CK41" s="16"/>
      <c r="CL41" s="15">
        <v>32</v>
      </c>
      <c r="CM41" s="15">
        <f t="shared" si="168"/>
        <v>0</v>
      </c>
      <c r="CN41" s="15">
        <f t="shared" si="169"/>
        <v>192</v>
      </c>
      <c r="CO41" s="16"/>
      <c r="CP41" s="15">
        <v>42</v>
      </c>
      <c r="CQ41" s="15">
        <f t="shared" si="170"/>
        <v>0</v>
      </c>
      <c r="CR41" s="15">
        <f t="shared" si="171"/>
        <v>252</v>
      </c>
      <c r="CS41" s="16"/>
      <c r="CT41" s="15">
        <v>21</v>
      </c>
      <c r="CU41" s="15">
        <f t="shared" si="172"/>
        <v>0</v>
      </c>
      <c r="CV41" s="15">
        <f t="shared" si="173"/>
        <v>126</v>
      </c>
      <c r="CW41" s="16"/>
      <c r="CX41" s="15">
        <v>28</v>
      </c>
      <c r="CY41" s="15">
        <f t="shared" si="174"/>
        <v>0</v>
      </c>
      <c r="CZ41" s="15">
        <f t="shared" si="175"/>
        <v>168</v>
      </c>
      <c r="DA41" s="16"/>
      <c r="DB41" s="15">
        <v>35</v>
      </c>
      <c r="DC41" s="15">
        <f t="shared" si="176"/>
        <v>0</v>
      </c>
      <c r="DD41" s="15">
        <f t="shared" si="177"/>
        <v>210</v>
      </c>
      <c r="DE41" s="16"/>
      <c r="DF41" s="15">
        <v>34</v>
      </c>
      <c r="DG41" s="15">
        <f t="shared" si="178"/>
        <v>0</v>
      </c>
      <c r="DH41" s="15">
        <f t="shared" si="179"/>
        <v>204</v>
      </c>
      <c r="DI41" s="16"/>
      <c r="DJ41" s="15"/>
      <c r="DK41" s="15">
        <f t="shared" si="180"/>
        <v>0</v>
      </c>
      <c r="DL41" s="15">
        <f t="shared" si="181"/>
        <v>0</v>
      </c>
      <c r="DM41" s="16"/>
      <c r="DN41" s="15"/>
      <c r="DO41" s="15">
        <f t="shared" si="182"/>
        <v>0</v>
      </c>
      <c r="DP41" s="15">
        <f t="shared" si="183"/>
        <v>0</v>
      </c>
      <c r="DQ41" s="16"/>
      <c r="DR41" s="15"/>
      <c r="DS41" s="15">
        <f t="shared" si="184"/>
        <v>0</v>
      </c>
      <c r="DT41" s="15">
        <f t="shared" si="185"/>
        <v>0</v>
      </c>
      <c r="DU41" s="16"/>
      <c r="DV41" s="15"/>
      <c r="DW41" s="15"/>
      <c r="DX41" s="15">
        <f t="shared" si="186"/>
        <v>0</v>
      </c>
      <c r="DZ41" s="15">
        <f t="shared" si="187"/>
        <v>51</v>
      </c>
      <c r="EA41" s="15">
        <f t="shared" si="188"/>
        <v>20</v>
      </c>
    </row>
    <row r="42" spans="1:131" s="14" customFormat="1" x14ac:dyDescent="0.2">
      <c r="A42" s="15">
        <v>9</v>
      </c>
      <c r="B42" s="14" t="s">
        <v>64</v>
      </c>
      <c r="C42" s="15">
        <v>0</v>
      </c>
      <c r="D42" s="15">
        <v>1</v>
      </c>
      <c r="E42" s="16"/>
      <c r="F42" s="15">
        <v>29</v>
      </c>
      <c r="G42" s="15">
        <f t="shared" si="126"/>
        <v>0</v>
      </c>
      <c r="H42" s="15">
        <f t="shared" si="127"/>
        <v>174</v>
      </c>
      <c r="I42" s="16"/>
      <c r="J42" s="15">
        <v>32</v>
      </c>
      <c r="K42" s="15">
        <f t="shared" si="128"/>
        <v>0</v>
      </c>
      <c r="L42" s="15">
        <f t="shared" si="129"/>
        <v>192</v>
      </c>
      <c r="M42" s="16"/>
      <c r="N42" s="15">
        <v>31</v>
      </c>
      <c r="O42" s="15">
        <f t="shared" si="130"/>
        <v>0</v>
      </c>
      <c r="P42" s="15">
        <f t="shared" si="131"/>
        <v>186</v>
      </c>
      <c r="Q42" s="16"/>
      <c r="R42" s="15">
        <v>30</v>
      </c>
      <c r="S42" s="15">
        <f t="shared" si="132"/>
        <v>0</v>
      </c>
      <c r="T42" s="15">
        <f t="shared" si="133"/>
        <v>180</v>
      </c>
      <c r="U42" s="16"/>
      <c r="V42" s="15">
        <v>21</v>
      </c>
      <c r="W42" s="15">
        <f t="shared" si="134"/>
        <v>0</v>
      </c>
      <c r="X42" s="15">
        <f t="shared" si="135"/>
        <v>126</v>
      </c>
      <c r="Y42" s="16"/>
      <c r="Z42" s="15">
        <v>52</v>
      </c>
      <c r="AA42" s="15">
        <f t="shared" si="136"/>
        <v>0</v>
      </c>
      <c r="AB42" s="15">
        <f t="shared" si="137"/>
        <v>312</v>
      </c>
      <c r="AC42" s="16"/>
      <c r="AD42" s="15">
        <v>43</v>
      </c>
      <c r="AE42" s="15">
        <f t="shared" si="138"/>
        <v>0</v>
      </c>
      <c r="AF42" s="15">
        <f t="shared" si="139"/>
        <v>258</v>
      </c>
      <c r="AG42" s="16"/>
      <c r="AH42" s="15">
        <v>30</v>
      </c>
      <c r="AI42" s="15">
        <f t="shared" si="140"/>
        <v>0</v>
      </c>
      <c r="AJ42" s="15">
        <f t="shared" si="141"/>
        <v>180</v>
      </c>
      <c r="AK42" s="16"/>
      <c r="AL42" s="15">
        <v>27</v>
      </c>
      <c r="AM42" s="15">
        <f t="shared" si="142"/>
        <v>0</v>
      </c>
      <c r="AN42" s="15">
        <f t="shared" si="143"/>
        <v>162</v>
      </c>
      <c r="AO42" s="16"/>
      <c r="AP42" s="15">
        <v>30</v>
      </c>
      <c r="AQ42" s="15">
        <f t="shared" si="144"/>
        <v>0</v>
      </c>
      <c r="AR42" s="15">
        <f t="shared" si="145"/>
        <v>180</v>
      </c>
      <c r="AS42" s="16"/>
      <c r="AT42" s="15">
        <v>48</v>
      </c>
      <c r="AU42" s="15">
        <f t="shared" si="146"/>
        <v>0</v>
      </c>
      <c r="AV42" s="15">
        <f t="shared" si="147"/>
        <v>288</v>
      </c>
      <c r="AW42" s="16"/>
      <c r="AX42" s="15">
        <v>32</v>
      </c>
      <c r="AY42" s="15">
        <f t="shared" si="148"/>
        <v>0</v>
      </c>
      <c r="AZ42" s="15">
        <f t="shared" si="149"/>
        <v>192</v>
      </c>
      <c r="BA42" s="16"/>
      <c r="BB42" s="15">
        <v>26</v>
      </c>
      <c r="BC42" s="15">
        <f t="shared" si="150"/>
        <v>0</v>
      </c>
      <c r="BD42" s="15">
        <f t="shared" si="151"/>
        <v>156</v>
      </c>
      <c r="BE42" s="16"/>
      <c r="BF42" s="15">
        <v>36</v>
      </c>
      <c r="BG42" s="15">
        <f t="shared" si="152"/>
        <v>0</v>
      </c>
      <c r="BH42" s="15">
        <f t="shared" si="153"/>
        <v>216</v>
      </c>
      <c r="BI42" s="16"/>
      <c r="BJ42" s="15">
        <v>37</v>
      </c>
      <c r="BK42" s="15">
        <f t="shared" si="154"/>
        <v>0</v>
      </c>
      <c r="BL42" s="15">
        <f t="shared" si="155"/>
        <v>222</v>
      </c>
      <c r="BM42" s="16"/>
      <c r="BN42" s="15">
        <v>24</v>
      </c>
      <c r="BO42" s="15">
        <f t="shared" si="156"/>
        <v>0</v>
      </c>
      <c r="BP42" s="15">
        <f t="shared" si="157"/>
        <v>144</v>
      </c>
      <c r="BQ42" s="16"/>
      <c r="BR42" s="15">
        <v>62</v>
      </c>
      <c r="BS42" s="15">
        <f t="shared" si="158"/>
        <v>0</v>
      </c>
      <c r="BT42" s="15">
        <f t="shared" si="159"/>
        <v>372</v>
      </c>
      <c r="BU42" s="16"/>
      <c r="BV42" s="15">
        <v>17</v>
      </c>
      <c r="BW42" s="15">
        <f t="shared" si="160"/>
        <v>0</v>
      </c>
      <c r="BX42" s="15">
        <f t="shared" si="161"/>
        <v>102</v>
      </c>
      <c r="BY42" s="16"/>
      <c r="BZ42" s="15">
        <v>22</v>
      </c>
      <c r="CA42" s="15">
        <f t="shared" si="162"/>
        <v>0</v>
      </c>
      <c r="CB42" s="15">
        <f t="shared" si="163"/>
        <v>132</v>
      </c>
      <c r="CC42" s="16"/>
      <c r="CD42" s="15">
        <v>39</v>
      </c>
      <c r="CE42" s="15">
        <f t="shared" si="164"/>
        <v>0</v>
      </c>
      <c r="CF42" s="15">
        <f t="shared" si="165"/>
        <v>234</v>
      </c>
      <c r="CG42" s="16"/>
      <c r="CH42" s="15">
        <v>26</v>
      </c>
      <c r="CI42" s="15">
        <f t="shared" si="166"/>
        <v>0</v>
      </c>
      <c r="CJ42" s="15">
        <f t="shared" si="167"/>
        <v>156</v>
      </c>
      <c r="CK42" s="16"/>
      <c r="CL42" s="15">
        <v>41</v>
      </c>
      <c r="CM42" s="15">
        <f t="shared" si="168"/>
        <v>0</v>
      </c>
      <c r="CN42" s="15">
        <f t="shared" si="169"/>
        <v>246</v>
      </c>
      <c r="CO42" s="16"/>
      <c r="CP42" s="15">
        <v>37</v>
      </c>
      <c r="CQ42" s="15">
        <f t="shared" si="170"/>
        <v>0</v>
      </c>
      <c r="CR42" s="15">
        <f t="shared" si="171"/>
        <v>222</v>
      </c>
      <c r="CS42" s="16"/>
      <c r="CT42" s="15">
        <v>44</v>
      </c>
      <c r="CU42" s="15">
        <f t="shared" si="172"/>
        <v>0</v>
      </c>
      <c r="CV42" s="15">
        <f t="shared" si="173"/>
        <v>264</v>
      </c>
      <c r="CW42" s="16"/>
      <c r="CX42" s="15">
        <v>27</v>
      </c>
      <c r="CY42" s="15">
        <f t="shared" si="174"/>
        <v>0</v>
      </c>
      <c r="CZ42" s="15">
        <f t="shared" si="175"/>
        <v>162</v>
      </c>
      <c r="DA42" s="16"/>
      <c r="DB42" s="15">
        <v>26</v>
      </c>
      <c r="DC42" s="15">
        <f t="shared" si="176"/>
        <v>0</v>
      </c>
      <c r="DD42" s="15">
        <f t="shared" si="177"/>
        <v>156</v>
      </c>
      <c r="DE42" s="16"/>
      <c r="DF42" s="15">
        <v>30</v>
      </c>
      <c r="DG42" s="15">
        <f t="shared" si="178"/>
        <v>0</v>
      </c>
      <c r="DH42" s="15">
        <f t="shared" si="179"/>
        <v>180</v>
      </c>
      <c r="DI42" s="16"/>
      <c r="DJ42" s="15"/>
      <c r="DK42" s="15">
        <f t="shared" si="180"/>
        <v>0</v>
      </c>
      <c r="DL42" s="15">
        <f t="shared" si="181"/>
        <v>0</v>
      </c>
      <c r="DM42" s="16"/>
      <c r="DN42" s="15"/>
      <c r="DO42" s="15">
        <f t="shared" si="182"/>
        <v>0</v>
      </c>
      <c r="DP42" s="15">
        <f t="shared" si="183"/>
        <v>0</v>
      </c>
      <c r="DQ42" s="16"/>
      <c r="DR42" s="15"/>
      <c r="DS42" s="15">
        <f t="shared" si="184"/>
        <v>0</v>
      </c>
      <c r="DT42" s="15">
        <f t="shared" si="185"/>
        <v>0</v>
      </c>
      <c r="DU42" s="16"/>
      <c r="DV42" s="15"/>
      <c r="DW42" s="15"/>
      <c r="DX42" s="15">
        <f t="shared" si="186"/>
        <v>0</v>
      </c>
      <c r="DZ42" s="15">
        <f t="shared" si="187"/>
        <v>62</v>
      </c>
      <c r="EA42" s="15">
        <f t="shared" si="188"/>
        <v>17</v>
      </c>
    </row>
    <row r="43" spans="1:131" s="14" customFormat="1" x14ac:dyDescent="0.2">
      <c r="A43" s="15">
        <v>5</v>
      </c>
      <c r="B43" s="14" t="s">
        <v>65</v>
      </c>
      <c r="C43" s="15">
        <v>0</v>
      </c>
      <c r="D43" s="15">
        <v>1</v>
      </c>
      <c r="E43" s="16"/>
      <c r="F43" s="15">
        <v>44</v>
      </c>
      <c r="G43" s="15">
        <f t="shared" si="126"/>
        <v>0</v>
      </c>
      <c r="H43" s="15">
        <f t="shared" si="127"/>
        <v>264</v>
      </c>
      <c r="I43" s="16"/>
      <c r="J43" s="15">
        <v>52</v>
      </c>
      <c r="K43" s="15">
        <f t="shared" si="128"/>
        <v>0</v>
      </c>
      <c r="L43" s="15">
        <f t="shared" si="129"/>
        <v>312</v>
      </c>
      <c r="M43" s="16"/>
      <c r="N43" s="15">
        <v>44</v>
      </c>
      <c r="O43" s="15">
        <f t="shared" si="130"/>
        <v>0</v>
      </c>
      <c r="P43" s="15">
        <f t="shared" si="131"/>
        <v>264</v>
      </c>
      <c r="Q43" s="16"/>
      <c r="R43" s="15">
        <v>45</v>
      </c>
      <c r="S43" s="15">
        <f t="shared" si="132"/>
        <v>0</v>
      </c>
      <c r="T43" s="15">
        <f t="shared" si="133"/>
        <v>270</v>
      </c>
      <c r="U43" s="16"/>
      <c r="V43" s="15">
        <v>48</v>
      </c>
      <c r="W43" s="15">
        <f t="shared" si="134"/>
        <v>0</v>
      </c>
      <c r="X43" s="15">
        <f t="shared" si="135"/>
        <v>288</v>
      </c>
      <c r="Y43" s="16"/>
      <c r="Z43" s="15">
        <v>55</v>
      </c>
      <c r="AA43" s="15">
        <f t="shared" si="136"/>
        <v>0</v>
      </c>
      <c r="AB43" s="15">
        <f t="shared" si="137"/>
        <v>330</v>
      </c>
      <c r="AC43" s="16"/>
      <c r="AD43" s="15">
        <v>32</v>
      </c>
      <c r="AE43" s="15">
        <f t="shared" si="138"/>
        <v>0</v>
      </c>
      <c r="AF43" s="15">
        <f t="shared" si="139"/>
        <v>192</v>
      </c>
      <c r="AG43" s="16"/>
      <c r="AH43" s="15">
        <v>43</v>
      </c>
      <c r="AI43" s="15">
        <f t="shared" si="140"/>
        <v>0</v>
      </c>
      <c r="AJ43" s="15">
        <f t="shared" si="141"/>
        <v>258</v>
      </c>
      <c r="AK43" s="16"/>
      <c r="AL43" s="15">
        <v>48</v>
      </c>
      <c r="AM43" s="15">
        <f t="shared" si="142"/>
        <v>0</v>
      </c>
      <c r="AN43" s="15">
        <f t="shared" si="143"/>
        <v>288</v>
      </c>
      <c r="AO43" s="16"/>
      <c r="AP43" s="15">
        <v>48</v>
      </c>
      <c r="AQ43" s="15">
        <f t="shared" si="144"/>
        <v>0</v>
      </c>
      <c r="AR43" s="15">
        <f t="shared" si="145"/>
        <v>288</v>
      </c>
      <c r="AS43" s="16"/>
      <c r="AT43" s="15">
        <v>61</v>
      </c>
      <c r="AU43" s="15">
        <f t="shared" si="146"/>
        <v>0</v>
      </c>
      <c r="AV43" s="15">
        <f t="shared" si="147"/>
        <v>366</v>
      </c>
      <c r="AW43" s="16"/>
      <c r="AX43" s="15">
        <v>45</v>
      </c>
      <c r="AY43" s="15">
        <f t="shared" si="148"/>
        <v>0</v>
      </c>
      <c r="AZ43" s="15">
        <f t="shared" si="149"/>
        <v>270</v>
      </c>
      <c r="BA43" s="16"/>
      <c r="BB43" s="15">
        <v>47</v>
      </c>
      <c r="BC43" s="15">
        <f t="shared" si="150"/>
        <v>0</v>
      </c>
      <c r="BD43" s="15">
        <f t="shared" si="151"/>
        <v>282</v>
      </c>
      <c r="BE43" s="16"/>
      <c r="BF43" s="15">
        <v>50</v>
      </c>
      <c r="BG43" s="15">
        <f t="shared" si="152"/>
        <v>0</v>
      </c>
      <c r="BH43" s="15">
        <f t="shared" si="153"/>
        <v>300</v>
      </c>
      <c r="BI43" s="16"/>
      <c r="BJ43" s="15">
        <v>31</v>
      </c>
      <c r="BK43" s="15">
        <f t="shared" si="154"/>
        <v>0</v>
      </c>
      <c r="BL43" s="15">
        <f t="shared" si="155"/>
        <v>186</v>
      </c>
      <c r="BM43" s="16"/>
      <c r="BN43" s="15">
        <v>49</v>
      </c>
      <c r="BO43" s="15">
        <f t="shared" si="156"/>
        <v>0</v>
      </c>
      <c r="BP43" s="15">
        <f t="shared" si="157"/>
        <v>294</v>
      </c>
      <c r="BQ43" s="16"/>
      <c r="BR43" s="15">
        <v>59</v>
      </c>
      <c r="BS43" s="15">
        <f t="shared" si="158"/>
        <v>0</v>
      </c>
      <c r="BT43" s="15">
        <f t="shared" si="159"/>
        <v>354</v>
      </c>
      <c r="BU43" s="16"/>
      <c r="BV43" s="15">
        <v>55</v>
      </c>
      <c r="BW43" s="15">
        <f t="shared" si="160"/>
        <v>0</v>
      </c>
      <c r="BX43" s="15">
        <f t="shared" si="161"/>
        <v>330</v>
      </c>
      <c r="BY43" s="16"/>
      <c r="BZ43" s="15">
        <v>51</v>
      </c>
      <c r="CA43" s="15">
        <f t="shared" si="162"/>
        <v>0</v>
      </c>
      <c r="CB43" s="15">
        <f t="shared" si="163"/>
        <v>306</v>
      </c>
      <c r="CC43" s="16"/>
      <c r="CD43" s="15">
        <v>49</v>
      </c>
      <c r="CE43" s="15">
        <f t="shared" si="164"/>
        <v>0</v>
      </c>
      <c r="CF43" s="15">
        <f t="shared" si="165"/>
        <v>294</v>
      </c>
      <c r="CG43" s="16"/>
      <c r="CH43" s="15">
        <v>44</v>
      </c>
      <c r="CI43" s="15">
        <f t="shared" si="166"/>
        <v>0</v>
      </c>
      <c r="CJ43" s="15">
        <f t="shared" si="167"/>
        <v>264</v>
      </c>
      <c r="CK43" s="16"/>
      <c r="CL43" s="15">
        <v>48</v>
      </c>
      <c r="CM43" s="15">
        <f t="shared" si="168"/>
        <v>0</v>
      </c>
      <c r="CN43" s="15">
        <f t="shared" si="169"/>
        <v>288</v>
      </c>
      <c r="CO43" s="16"/>
      <c r="CP43" s="15">
        <v>49</v>
      </c>
      <c r="CQ43" s="15">
        <f t="shared" si="170"/>
        <v>0</v>
      </c>
      <c r="CR43" s="15">
        <f t="shared" si="171"/>
        <v>294</v>
      </c>
      <c r="CS43" s="16"/>
      <c r="CT43" s="15">
        <v>35</v>
      </c>
      <c r="CU43" s="15">
        <f t="shared" si="172"/>
        <v>0</v>
      </c>
      <c r="CV43" s="15">
        <f t="shared" si="173"/>
        <v>210</v>
      </c>
      <c r="CW43" s="16"/>
      <c r="CX43" s="15">
        <v>49</v>
      </c>
      <c r="CY43" s="15">
        <f t="shared" si="174"/>
        <v>0</v>
      </c>
      <c r="CZ43" s="15">
        <f t="shared" si="175"/>
        <v>294</v>
      </c>
      <c r="DA43" s="16"/>
      <c r="DB43" s="15">
        <v>41</v>
      </c>
      <c r="DC43" s="15">
        <f t="shared" si="176"/>
        <v>0</v>
      </c>
      <c r="DD43" s="15">
        <f t="shared" si="177"/>
        <v>246</v>
      </c>
      <c r="DE43" s="16"/>
      <c r="DF43" s="15">
        <v>46</v>
      </c>
      <c r="DG43" s="15">
        <f t="shared" si="178"/>
        <v>0</v>
      </c>
      <c r="DH43" s="15">
        <f t="shared" si="179"/>
        <v>276</v>
      </c>
      <c r="DI43" s="16"/>
      <c r="DJ43" s="15"/>
      <c r="DK43" s="15">
        <f t="shared" si="180"/>
        <v>0</v>
      </c>
      <c r="DL43" s="15">
        <f t="shared" si="181"/>
        <v>0</v>
      </c>
      <c r="DM43" s="16"/>
      <c r="DN43" s="15"/>
      <c r="DO43" s="15">
        <f t="shared" si="182"/>
        <v>0</v>
      </c>
      <c r="DP43" s="15">
        <f t="shared" si="183"/>
        <v>0</v>
      </c>
      <c r="DQ43" s="16"/>
      <c r="DR43" s="15"/>
      <c r="DS43" s="15">
        <f t="shared" si="184"/>
        <v>0</v>
      </c>
      <c r="DT43" s="15">
        <f t="shared" si="185"/>
        <v>0</v>
      </c>
      <c r="DU43" s="16"/>
      <c r="DV43" s="15"/>
      <c r="DW43" s="15"/>
      <c r="DX43" s="15">
        <f t="shared" si="186"/>
        <v>0</v>
      </c>
      <c r="DZ43" s="15">
        <f t="shared" si="187"/>
        <v>61</v>
      </c>
      <c r="EA43" s="15">
        <f t="shared" si="188"/>
        <v>31</v>
      </c>
    </row>
    <row r="44" spans="1:131" s="14" customFormat="1" x14ac:dyDescent="0.2">
      <c r="A44" s="15">
        <v>12</v>
      </c>
      <c r="B44" s="32" t="s">
        <v>66</v>
      </c>
      <c r="C44" s="15">
        <v>0</v>
      </c>
      <c r="D44" s="15">
        <v>1</v>
      </c>
      <c r="E44" s="16"/>
      <c r="F44" s="15">
        <v>17</v>
      </c>
      <c r="G44" s="15">
        <f t="shared" si="126"/>
        <v>0</v>
      </c>
      <c r="H44" s="15">
        <f t="shared" si="127"/>
        <v>102</v>
      </c>
      <c r="I44" s="16"/>
      <c r="J44" s="15">
        <v>15</v>
      </c>
      <c r="K44" s="15">
        <f t="shared" si="128"/>
        <v>0</v>
      </c>
      <c r="L44" s="15">
        <f t="shared" si="129"/>
        <v>90</v>
      </c>
      <c r="M44" s="16"/>
      <c r="N44" s="15">
        <v>17</v>
      </c>
      <c r="O44" s="15">
        <f t="shared" si="130"/>
        <v>0</v>
      </c>
      <c r="P44" s="15">
        <f t="shared" si="131"/>
        <v>102</v>
      </c>
      <c r="Q44" s="16"/>
      <c r="R44" s="15">
        <v>17</v>
      </c>
      <c r="S44" s="15">
        <f t="shared" si="132"/>
        <v>0</v>
      </c>
      <c r="T44" s="15">
        <f t="shared" si="133"/>
        <v>102</v>
      </c>
      <c r="U44" s="16"/>
      <c r="V44" s="15">
        <v>19</v>
      </c>
      <c r="W44" s="15">
        <f t="shared" si="134"/>
        <v>0</v>
      </c>
      <c r="X44" s="15">
        <f t="shared" si="135"/>
        <v>114</v>
      </c>
      <c r="Y44" s="16"/>
      <c r="Z44" s="15">
        <v>19</v>
      </c>
      <c r="AA44" s="15">
        <f t="shared" si="136"/>
        <v>0</v>
      </c>
      <c r="AB44" s="15">
        <f t="shared" si="137"/>
        <v>114</v>
      </c>
      <c r="AC44" s="16"/>
      <c r="AD44" s="15">
        <v>21</v>
      </c>
      <c r="AE44" s="15">
        <f t="shared" si="138"/>
        <v>0</v>
      </c>
      <c r="AF44" s="15">
        <f t="shared" si="139"/>
        <v>126</v>
      </c>
      <c r="AG44" s="16"/>
      <c r="AH44" s="15">
        <v>19</v>
      </c>
      <c r="AI44" s="15">
        <f t="shared" si="140"/>
        <v>0</v>
      </c>
      <c r="AJ44" s="15">
        <f t="shared" si="141"/>
        <v>114</v>
      </c>
      <c r="AK44" s="16"/>
      <c r="AL44" s="15">
        <v>21</v>
      </c>
      <c r="AM44" s="15">
        <f t="shared" si="142"/>
        <v>0</v>
      </c>
      <c r="AN44" s="15">
        <f t="shared" si="143"/>
        <v>126</v>
      </c>
      <c r="AO44" s="16"/>
      <c r="AP44" s="15">
        <v>20</v>
      </c>
      <c r="AQ44" s="15">
        <f t="shared" si="144"/>
        <v>0</v>
      </c>
      <c r="AR44" s="15">
        <f t="shared" si="145"/>
        <v>120</v>
      </c>
      <c r="AS44" s="16"/>
      <c r="AT44" s="15">
        <v>13</v>
      </c>
      <c r="AU44" s="15">
        <f t="shared" si="146"/>
        <v>0</v>
      </c>
      <c r="AV44" s="15">
        <f t="shared" si="147"/>
        <v>78</v>
      </c>
      <c r="AW44" s="16"/>
      <c r="AX44" s="15">
        <v>19</v>
      </c>
      <c r="AY44" s="15">
        <f t="shared" si="148"/>
        <v>0</v>
      </c>
      <c r="AZ44" s="15">
        <f t="shared" si="149"/>
        <v>114</v>
      </c>
      <c r="BA44" s="16"/>
      <c r="BB44" s="15">
        <v>17</v>
      </c>
      <c r="BC44" s="15">
        <f t="shared" si="150"/>
        <v>0</v>
      </c>
      <c r="BD44" s="15">
        <f t="shared" si="151"/>
        <v>102</v>
      </c>
      <c r="BE44" s="16"/>
      <c r="BF44" s="15">
        <v>18</v>
      </c>
      <c r="BG44" s="15">
        <f t="shared" si="152"/>
        <v>0</v>
      </c>
      <c r="BH44" s="15">
        <f t="shared" si="153"/>
        <v>108</v>
      </c>
      <c r="BI44" s="16"/>
      <c r="BJ44" s="15">
        <v>18</v>
      </c>
      <c r="BK44" s="15">
        <f t="shared" si="154"/>
        <v>0</v>
      </c>
      <c r="BL44" s="15">
        <f t="shared" si="155"/>
        <v>108</v>
      </c>
      <c r="BM44" s="16"/>
      <c r="BN44" s="15">
        <v>15</v>
      </c>
      <c r="BO44" s="15">
        <f t="shared" si="156"/>
        <v>0</v>
      </c>
      <c r="BP44" s="15">
        <f t="shared" si="157"/>
        <v>90</v>
      </c>
      <c r="BQ44" s="16"/>
      <c r="BR44" s="15">
        <v>6</v>
      </c>
      <c r="BS44" s="15">
        <f t="shared" si="158"/>
        <v>0</v>
      </c>
      <c r="BT44" s="15">
        <f t="shared" si="159"/>
        <v>36</v>
      </c>
      <c r="BU44" s="16"/>
      <c r="BV44" s="15">
        <v>19</v>
      </c>
      <c r="BW44" s="15">
        <f t="shared" si="160"/>
        <v>0</v>
      </c>
      <c r="BX44" s="15">
        <f t="shared" si="161"/>
        <v>114</v>
      </c>
      <c r="BY44" s="16"/>
      <c r="BZ44" s="15">
        <v>10</v>
      </c>
      <c r="CA44" s="15">
        <f t="shared" si="162"/>
        <v>0</v>
      </c>
      <c r="CB44" s="15">
        <f t="shared" si="163"/>
        <v>60</v>
      </c>
      <c r="CC44" s="16"/>
      <c r="CD44" s="15">
        <v>26</v>
      </c>
      <c r="CE44" s="15">
        <f t="shared" si="164"/>
        <v>0</v>
      </c>
      <c r="CF44" s="15">
        <f t="shared" si="165"/>
        <v>156</v>
      </c>
      <c r="CG44" s="16"/>
      <c r="CH44" s="15">
        <v>15</v>
      </c>
      <c r="CI44" s="15">
        <f t="shared" si="166"/>
        <v>0</v>
      </c>
      <c r="CJ44" s="15">
        <f t="shared" si="167"/>
        <v>90</v>
      </c>
      <c r="CK44" s="16"/>
      <c r="CL44" s="15">
        <v>21</v>
      </c>
      <c r="CM44" s="15">
        <f t="shared" si="168"/>
        <v>0</v>
      </c>
      <c r="CN44" s="15">
        <f t="shared" si="169"/>
        <v>126</v>
      </c>
      <c r="CO44" s="16"/>
      <c r="CP44" s="15">
        <v>19</v>
      </c>
      <c r="CQ44" s="15">
        <f t="shared" si="170"/>
        <v>0</v>
      </c>
      <c r="CR44" s="15">
        <f t="shared" si="171"/>
        <v>114</v>
      </c>
      <c r="CS44" s="16"/>
      <c r="CT44" s="15">
        <v>30</v>
      </c>
      <c r="CU44" s="15">
        <f t="shared" si="172"/>
        <v>0</v>
      </c>
      <c r="CV44" s="15">
        <f t="shared" si="173"/>
        <v>180</v>
      </c>
      <c r="CW44" s="16"/>
      <c r="CX44" s="15">
        <v>21</v>
      </c>
      <c r="CY44" s="15">
        <f t="shared" si="174"/>
        <v>0</v>
      </c>
      <c r="CZ44" s="15">
        <f t="shared" si="175"/>
        <v>126</v>
      </c>
      <c r="DA44" s="16"/>
      <c r="DB44" s="15">
        <v>16</v>
      </c>
      <c r="DC44" s="15">
        <f t="shared" si="176"/>
        <v>0</v>
      </c>
      <c r="DD44" s="15">
        <f t="shared" si="177"/>
        <v>96</v>
      </c>
      <c r="DE44" s="16"/>
      <c r="DF44" s="15">
        <v>19</v>
      </c>
      <c r="DG44" s="15">
        <f t="shared" si="178"/>
        <v>0</v>
      </c>
      <c r="DH44" s="15">
        <f t="shared" si="179"/>
        <v>114</v>
      </c>
      <c r="DI44" s="16"/>
      <c r="DJ44" s="15"/>
      <c r="DK44" s="15">
        <f t="shared" si="180"/>
        <v>0</v>
      </c>
      <c r="DL44" s="15">
        <f t="shared" si="181"/>
        <v>0</v>
      </c>
      <c r="DM44" s="16"/>
      <c r="DN44" s="15"/>
      <c r="DO44" s="15">
        <f t="shared" si="182"/>
        <v>0</v>
      </c>
      <c r="DP44" s="15">
        <f t="shared" si="183"/>
        <v>0</v>
      </c>
      <c r="DQ44" s="16"/>
      <c r="DR44" s="15"/>
      <c r="DS44" s="15">
        <f t="shared" si="184"/>
        <v>0</v>
      </c>
      <c r="DT44" s="15">
        <f t="shared" si="185"/>
        <v>0</v>
      </c>
      <c r="DU44" s="16"/>
      <c r="DV44" s="15"/>
      <c r="DW44" s="15"/>
      <c r="DX44" s="15">
        <f t="shared" si="186"/>
        <v>0</v>
      </c>
      <c r="DZ44" s="15">
        <f t="shared" si="187"/>
        <v>26</v>
      </c>
      <c r="EA44" s="15">
        <f t="shared" si="188"/>
        <v>6</v>
      </c>
    </row>
    <row r="45" spans="1:131" s="14" customFormat="1" x14ac:dyDescent="0.2">
      <c r="A45" s="15">
        <v>4</v>
      </c>
      <c r="B45" s="14" t="s">
        <v>67</v>
      </c>
      <c r="C45" s="15">
        <v>0</v>
      </c>
      <c r="D45" s="15">
        <v>1</v>
      </c>
      <c r="E45" s="16"/>
      <c r="F45" s="15">
        <v>56</v>
      </c>
      <c r="G45" s="15">
        <f t="shared" si="126"/>
        <v>0</v>
      </c>
      <c r="H45" s="15">
        <f t="shared" si="127"/>
        <v>336</v>
      </c>
      <c r="I45" s="16"/>
      <c r="J45" s="15">
        <v>48</v>
      </c>
      <c r="K45" s="15">
        <f t="shared" si="128"/>
        <v>0</v>
      </c>
      <c r="L45" s="15">
        <f t="shared" si="129"/>
        <v>288</v>
      </c>
      <c r="M45" s="16"/>
      <c r="N45" s="15">
        <v>50</v>
      </c>
      <c r="O45" s="15">
        <f t="shared" si="130"/>
        <v>0</v>
      </c>
      <c r="P45" s="15">
        <f t="shared" si="131"/>
        <v>300</v>
      </c>
      <c r="Q45" s="16"/>
      <c r="R45" s="15">
        <v>50</v>
      </c>
      <c r="S45" s="15">
        <f t="shared" si="132"/>
        <v>0</v>
      </c>
      <c r="T45" s="15">
        <f t="shared" si="133"/>
        <v>300</v>
      </c>
      <c r="U45" s="16"/>
      <c r="V45" s="15">
        <v>49</v>
      </c>
      <c r="W45" s="15">
        <f t="shared" si="134"/>
        <v>0</v>
      </c>
      <c r="X45" s="15">
        <f t="shared" si="135"/>
        <v>294</v>
      </c>
      <c r="Y45" s="16"/>
      <c r="Z45" s="15">
        <v>38</v>
      </c>
      <c r="AA45" s="15">
        <f t="shared" si="136"/>
        <v>0</v>
      </c>
      <c r="AB45" s="15">
        <f t="shared" si="137"/>
        <v>228</v>
      </c>
      <c r="AC45" s="16"/>
      <c r="AD45" s="15">
        <v>56</v>
      </c>
      <c r="AE45" s="15">
        <f t="shared" si="138"/>
        <v>0</v>
      </c>
      <c r="AF45" s="15">
        <f t="shared" si="139"/>
        <v>336</v>
      </c>
      <c r="AG45" s="16"/>
      <c r="AH45" s="15">
        <v>50</v>
      </c>
      <c r="AI45" s="15">
        <f t="shared" si="140"/>
        <v>0</v>
      </c>
      <c r="AJ45" s="15">
        <f t="shared" si="141"/>
        <v>300</v>
      </c>
      <c r="AK45" s="16"/>
      <c r="AL45" s="15">
        <v>22</v>
      </c>
      <c r="AM45" s="15">
        <f t="shared" si="142"/>
        <v>0</v>
      </c>
      <c r="AN45" s="15">
        <f t="shared" si="143"/>
        <v>132</v>
      </c>
      <c r="AO45" s="16"/>
      <c r="AP45" s="15">
        <v>53</v>
      </c>
      <c r="AQ45" s="15">
        <f t="shared" si="144"/>
        <v>0</v>
      </c>
      <c r="AR45" s="15">
        <f t="shared" si="145"/>
        <v>318</v>
      </c>
      <c r="AS45" s="16"/>
      <c r="AT45" s="15">
        <v>57</v>
      </c>
      <c r="AU45" s="15">
        <f t="shared" si="146"/>
        <v>0</v>
      </c>
      <c r="AV45" s="15">
        <f t="shared" si="147"/>
        <v>342</v>
      </c>
      <c r="AW45" s="16"/>
      <c r="AX45" s="15">
        <v>49</v>
      </c>
      <c r="AY45" s="15">
        <f t="shared" si="148"/>
        <v>0</v>
      </c>
      <c r="AZ45" s="15">
        <f t="shared" si="149"/>
        <v>294</v>
      </c>
      <c r="BA45" s="16"/>
      <c r="BB45" s="15">
        <v>53</v>
      </c>
      <c r="BC45" s="15">
        <f t="shared" si="150"/>
        <v>0</v>
      </c>
      <c r="BD45" s="15">
        <f t="shared" si="151"/>
        <v>318</v>
      </c>
      <c r="BE45" s="16"/>
      <c r="BF45" s="15">
        <v>53</v>
      </c>
      <c r="BG45" s="15">
        <f t="shared" si="152"/>
        <v>0</v>
      </c>
      <c r="BH45" s="15">
        <f t="shared" si="153"/>
        <v>318</v>
      </c>
      <c r="BI45" s="16"/>
      <c r="BJ45" s="15">
        <v>61</v>
      </c>
      <c r="BK45" s="15">
        <f t="shared" si="154"/>
        <v>0</v>
      </c>
      <c r="BL45" s="15">
        <f t="shared" si="155"/>
        <v>366</v>
      </c>
      <c r="BM45" s="16"/>
      <c r="BN45" s="15">
        <v>52</v>
      </c>
      <c r="BO45" s="15">
        <f t="shared" si="156"/>
        <v>0</v>
      </c>
      <c r="BP45" s="15">
        <f t="shared" si="157"/>
        <v>312</v>
      </c>
      <c r="BQ45" s="16"/>
      <c r="BR45" s="15">
        <v>33</v>
      </c>
      <c r="BS45" s="15">
        <f t="shared" si="158"/>
        <v>0</v>
      </c>
      <c r="BT45" s="15">
        <f t="shared" si="159"/>
        <v>198</v>
      </c>
      <c r="BU45" s="16"/>
      <c r="BV45" s="15">
        <v>41</v>
      </c>
      <c r="BW45" s="15">
        <f t="shared" si="160"/>
        <v>0</v>
      </c>
      <c r="BX45" s="15">
        <f t="shared" si="161"/>
        <v>246</v>
      </c>
      <c r="BY45" s="16"/>
      <c r="BZ45" s="15">
        <v>59</v>
      </c>
      <c r="CA45" s="15">
        <f t="shared" si="162"/>
        <v>0</v>
      </c>
      <c r="CB45" s="15">
        <f t="shared" si="163"/>
        <v>354</v>
      </c>
      <c r="CC45" s="16"/>
      <c r="CD45" s="15">
        <v>53</v>
      </c>
      <c r="CE45" s="15">
        <f t="shared" si="164"/>
        <v>0</v>
      </c>
      <c r="CF45" s="15">
        <f t="shared" si="165"/>
        <v>318</v>
      </c>
      <c r="CG45" s="16"/>
      <c r="CH45" s="15">
        <v>56</v>
      </c>
      <c r="CI45" s="15">
        <f t="shared" si="166"/>
        <v>0</v>
      </c>
      <c r="CJ45" s="15">
        <f t="shared" si="167"/>
        <v>336</v>
      </c>
      <c r="CK45" s="16"/>
      <c r="CL45" s="15">
        <v>50</v>
      </c>
      <c r="CM45" s="15">
        <f t="shared" si="168"/>
        <v>0</v>
      </c>
      <c r="CN45" s="15">
        <f t="shared" si="169"/>
        <v>300</v>
      </c>
      <c r="CO45" s="16"/>
      <c r="CP45" s="15">
        <v>54</v>
      </c>
      <c r="CQ45" s="15">
        <f t="shared" si="170"/>
        <v>0</v>
      </c>
      <c r="CR45" s="15">
        <f t="shared" si="171"/>
        <v>324</v>
      </c>
      <c r="CS45" s="16"/>
      <c r="CT45" s="15">
        <v>55</v>
      </c>
      <c r="CU45" s="15">
        <f t="shared" si="172"/>
        <v>0</v>
      </c>
      <c r="CV45" s="15">
        <f t="shared" si="173"/>
        <v>330</v>
      </c>
      <c r="CW45" s="16"/>
      <c r="CX45" s="15">
        <v>53</v>
      </c>
      <c r="CY45" s="15">
        <f t="shared" si="174"/>
        <v>0</v>
      </c>
      <c r="CZ45" s="15">
        <f t="shared" si="175"/>
        <v>318</v>
      </c>
      <c r="DA45" s="16"/>
      <c r="DB45" s="15">
        <v>47</v>
      </c>
      <c r="DC45" s="15">
        <f t="shared" si="176"/>
        <v>0</v>
      </c>
      <c r="DD45" s="15">
        <f t="shared" si="177"/>
        <v>282</v>
      </c>
      <c r="DE45" s="16"/>
      <c r="DF45" s="15">
        <v>50</v>
      </c>
      <c r="DG45" s="15">
        <f t="shared" si="178"/>
        <v>0</v>
      </c>
      <c r="DH45" s="15">
        <f t="shared" si="179"/>
        <v>300</v>
      </c>
      <c r="DI45" s="16"/>
      <c r="DJ45" s="15"/>
      <c r="DK45" s="15">
        <f t="shared" si="180"/>
        <v>0</v>
      </c>
      <c r="DL45" s="15">
        <f t="shared" si="181"/>
        <v>0</v>
      </c>
      <c r="DM45" s="16"/>
      <c r="DN45" s="15"/>
      <c r="DO45" s="15">
        <f t="shared" si="182"/>
        <v>0</v>
      </c>
      <c r="DP45" s="15">
        <f t="shared" si="183"/>
        <v>0</v>
      </c>
      <c r="DQ45" s="16"/>
      <c r="DR45" s="15"/>
      <c r="DS45" s="15">
        <f t="shared" si="184"/>
        <v>0</v>
      </c>
      <c r="DT45" s="15">
        <f t="shared" si="185"/>
        <v>0</v>
      </c>
      <c r="DU45" s="16"/>
      <c r="DV45" s="15"/>
      <c r="DW45" s="15"/>
      <c r="DX45" s="15">
        <f t="shared" si="186"/>
        <v>0</v>
      </c>
      <c r="DZ45" s="15">
        <f t="shared" si="187"/>
        <v>61</v>
      </c>
      <c r="EA45" s="15">
        <f t="shared" si="188"/>
        <v>22</v>
      </c>
    </row>
    <row r="46" spans="1:131" s="14" customFormat="1" x14ac:dyDescent="0.2">
      <c r="A46" s="15">
        <v>13</v>
      </c>
      <c r="B46" s="14" t="s">
        <v>68</v>
      </c>
      <c r="C46" s="15">
        <v>0</v>
      </c>
      <c r="D46" s="15">
        <v>1</v>
      </c>
      <c r="E46" s="16"/>
      <c r="F46" s="15">
        <v>9</v>
      </c>
      <c r="G46" s="15">
        <f t="shared" si="126"/>
        <v>0</v>
      </c>
      <c r="H46" s="15">
        <f t="shared" si="127"/>
        <v>54</v>
      </c>
      <c r="I46" s="16"/>
      <c r="J46" s="15">
        <v>12</v>
      </c>
      <c r="K46" s="15">
        <f t="shared" si="128"/>
        <v>0</v>
      </c>
      <c r="L46" s="15">
        <f t="shared" si="129"/>
        <v>72</v>
      </c>
      <c r="M46" s="16"/>
      <c r="N46" s="15">
        <v>14</v>
      </c>
      <c r="O46" s="15">
        <f t="shared" si="130"/>
        <v>0</v>
      </c>
      <c r="P46" s="15">
        <f t="shared" si="131"/>
        <v>84</v>
      </c>
      <c r="Q46" s="16"/>
      <c r="R46" s="15">
        <v>10</v>
      </c>
      <c r="S46" s="15">
        <f t="shared" si="132"/>
        <v>0</v>
      </c>
      <c r="T46" s="15">
        <f t="shared" si="133"/>
        <v>60</v>
      </c>
      <c r="U46" s="16"/>
      <c r="V46" s="15">
        <v>13</v>
      </c>
      <c r="W46" s="15">
        <f t="shared" si="134"/>
        <v>0</v>
      </c>
      <c r="X46" s="15">
        <f t="shared" si="135"/>
        <v>78</v>
      </c>
      <c r="Y46" s="16"/>
      <c r="Z46" s="15">
        <v>20</v>
      </c>
      <c r="AA46" s="15">
        <f t="shared" si="136"/>
        <v>0</v>
      </c>
      <c r="AB46" s="15">
        <f t="shared" si="137"/>
        <v>120</v>
      </c>
      <c r="AC46" s="16"/>
      <c r="AD46" s="15">
        <v>22</v>
      </c>
      <c r="AE46" s="15">
        <f t="shared" si="138"/>
        <v>0</v>
      </c>
      <c r="AF46" s="15">
        <f t="shared" si="139"/>
        <v>132</v>
      </c>
      <c r="AG46" s="16"/>
      <c r="AH46" s="15">
        <v>15</v>
      </c>
      <c r="AI46" s="15">
        <f t="shared" si="140"/>
        <v>0</v>
      </c>
      <c r="AJ46" s="15">
        <f t="shared" si="141"/>
        <v>90</v>
      </c>
      <c r="AK46" s="16"/>
      <c r="AL46" s="15">
        <v>33</v>
      </c>
      <c r="AM46" s="15">
        <f t="shared" si="142"/>
        <v>0</v>
      </c>
      <c r="AN46" s="15">
        <f t="shared" si="143"/>
        <v>198</v>
      </c>
      <c r="AO46" s="16"/>
      <c r="AP46" s="15">
        <v>14</v>
      </c>
      <c r="AQ46" s="15">
        <f t="shared" si="144"/>
        <v>0</v>
      </c>
      <c r="AR46" s="15">
        <f t="shared" si="145"/>
        <v>84</v>
      </c>
      <c r="AS46" s="16"/>
      <c r="AT46" s="15">
        <v>27</v>
      </c>
      <c r="AU46" s="15">
        <f t="shared" si="146"/>
        <v>0</v>
      </c>
      <c r="AV46" s="15">
        <f t="shared" si="147"/>
        <v>162</v>
      </c>
      <c r="AW46" s="16"/>
      <c r="AX46" s="15">
        <v>16</v>
      </c>
      <c r="AY46" s="15">
        <f t="shared" si="148"/>
        <v>0</v>
      </c>
      <c r="AZ46" s="15">
        <f t="shared" si="149"/>
        <v>96</v>
      </c>
      <c r="BA46" s="16"/>
      <c r="BB46" s="15">
        <v>20</v>
      </c>
      <c r="BC46" s="15">
        <f t="shared" si="150"/>
        <v>0</v>
      </c>
      <c r="BD46" s="15">
        <f t="shared" si="151"/>
        <v>120</v>
      </c>
      <c r="BE46" s="16"/>
      <c r="BF46" s="15">
        <v>15</v>
      </c>
      <c r="BG46" s="15">
        <f t="shared" si="152"/>
        <v>0</v>
      </c>
      <c r="BH46" s="15">
        <f t="shared" si="153"/>
        <v>90</v>
      </c>
      <c r="BI46" s="16"/>
      <c r="BJ46" s="15">
        <v>14</v>
      </c>
      <c r="BK46" s="15">
        <f t="shared" si="154"/>
        <v>0</v>
      </c>
      <c r="BL46" s="15">
        <f t="shared" si="155"/>
        <v>84</v>
      </c>
      <c r="BM46" s="16"/>
      <c r="BN46" s="15">
        <v>9</v>
      </c>
      <c r="BO46" s="15">
        <f t="shared" si="156"/>
        <v>0</v>
      </c>
      <c r="BP46" s="15">
        <f t="shared" si="157"/>
        <v>54</v>
      </c>
      <c r="BQ46" s="16"/>
      <c r="BR46" s="15">
        <v>11</v>
      </c>
      <c r="BS46" s="15">
        <f t="shared" si="158"/>
        <v>0</v>
      </c>
      <c r="BT46" s="15">
        <f t="shared" si="159"/>
        <v>66</v>
      </c>
      <c r="BU46" s="16"/>
      <c r="BV46" s="15">
        <v>20</v>
      </c>
      <c r="BW46" s="15">
        <f t="shared" si="160"/>
        <v>0</v>
      </c>
      <c r="BX46" s="15">
        <f t="shared" si="161"/>
        <v>120</v>
      </c>
      <c r="BY46" s="16"/>
      <c r="BZ46" s="15">
        <v>14</v>
      </c>
      <c r="CA46" s="15">
        <f t="shared" si="162"/>
        <v>0</v>
      </c>
      <c r="CB46" s="15">
        <f t="shared" si="163"/>
        <v>84</v>
      </c>
      <c r="CC46" s="16"/>
      <c r="CD46" s="15">
        <v>15</v>
      </c>
      <c r="CE46" s="15">
        <f t="shared" si="164"/>
        <v>0</v>
      </c>
      <c r="CF46" s="15">
        <f t="shared" si="165"/>
        <v>90</v>
      </c>
      <c r="CG46" s="16"/>
      <c r="CH46" s="15">
        <v>8</v>
      </c>
      <c r="CI46" s="15">
        <f t="shared" si="166"/>
        <v>0</v>
      </c>
      <c r="CJ46" s="15">
        <f t="shared" si="167"/>
        <v>48</v>
      </c>
      <c r="CK46" s="16"/>
      <c r="CL46" s="15">
        <v>20</v>
      </c>
      <c r="CM46" s="15">
        <f t="shared" si="168"/>
        <v>0</v>
      </c>
      <c r="CN46" s="15">
        <f t="shared" si="169"/>
        <v>120</v>
      </c>
      <c r="CO46" s="16"/>
      <c r="CP46" s="15">
        <v>15</v>
      </c>
      <c r="CQ46" s="15">
        <f t="shared" si="170"/>
        <v>0</v>
      </c>
      <c r="CR46" s="15">
        <f t="shared" si="171"/>
        <v>90</v>
      </c>
      <c r="CS46" s="16"/>
      <c r="CT46" s="15">
        <v>10</v>
      </c>
      <c r="CU46" s="15">
        <f t="shared" si="172"/>
        <v>0</v>
      </c>
      <c r="CV46" s="15">
        <f t="shared" si="173"/>
        <v>60</v>
      </c>
      <c r="CW46" s="16"/>
      <c r="CX46" s="15">
        <v>13</v>
      </c>
      <c r="CY46" s="15">
        <f t="shared" si="174"/>
        <v>0</v>
      </c>
      <c r="CZ46" s="15">
        <f t="shared" si="175"/>
        <v>78</v>
      </c>
      <c r="DA46" s="16"/>
      <c r="DB46" s="15">
        <v>15</v>
      </c>
      <c r="DC46" s="15">
        <f t="shared" si="176"/>
        <v>0</v>
      </c>
      <c r="DD46" s="15">
        <f t="shared" si="177"/>
        <v>90</v>
      </c>
      <c r="DE46" s="16"/>
      <c r="DF46" s="15">
        <v>15</v>
      </c>
      <c r="DG46" s="15">
        <f t="shared" si="178"/>
        <v>0</v>
      </c>
      <c r="DH46" s="15">
        <f t="shared" si="179"/>
        <v>90</v>
      </c>
      <c r="DI46" s="16"/>
      <c r="DJ46" s="15"/>
      <c r="DK46" s="15">
        <f t="shared" si="180"/>
        <v>0</v>
      </c>
      <c r="DL46" s="15">
        <f t="shared" si="181"/>
        <v>0</v>
      </c>
      <c r="DM46" s="16"/>
      <c r="DN46" s="15"/>
      <c r="DO46" s="15">
        <f t="shared" si="182"/>
        <v>0</v>
      </c>
      <c r="DP46" s="15">
        <f t="shared" si="183"/>
        <v>0</v>
      </c>
      <c r="DQ46" s="16"/>
      <c r="DR46" s="15"/>
      <c r="DS46" s="15">
        <f t="shared" si="184"/>
        <v>0</v>
      </c>
      <c r="DT46" s="15">
        <f t="shared" si="185"/>
        <v>0</v>
      </c>
      <c r="DU46" s="16"/>
      <c r="DV46" s="15"/>
      <c r="DW46" s="15"/>
      <c r="DX46" s="15">
        <f t="shared" si="186"/>
        <v>0</v>
      </c>
      <c r="DZ46" s="15">
        <f t="shared" si="187"/>
        <v>33</v>
      </c>
      <c r="EA46" s="15">
        <f t="shared" si="188"/>
        <v>8</v>
      </c>
    </row>
    <row r="47" spans="1:131" s="14" customFormat="1" x14ac:dyDescent="0.2">
      <c r="A47" s="15">
        <v>6</v>
      </c>
      <c r="B47" s="14" t="s">
        <v>69</v>
      </c>
      <c r="C47" s="15">
        <v>0</v>
      </c>
      <c r="D47" s="15">
        <v>1</v>
      </c>
      <c r="E47" s="16"/>
      <c r="F47" s="15">
        <v>49</v>
      </c>
      <c r="G47" s="15">
        <f t="shared" si="126"/>
        <v>0</v>
      </c>
      <c r="H47" s="15">
        <f t="shared" si="127"/>
        <v>294</v>
      </c>
      <c r="I47" s="16"/>
      <c r="J47" s="15">
        <v>45</v>
      </c>
      <c r="K47" s="15">
        <f t="shared" si="128"/>
        <v>0</v>
      </c>
      <c r="L47" s="15">
        <f t="shared" si="129"/>
        <v>270</v>
      </c>
      <c r="M47" s="16"/>
      <c r="N47" s="15">
        <v>40</v>
      </c>
      <c r="O47" s="15">
        <f t="shared" si="130"/>
        <v>0</v>
      </c>
      <c r="P47" s="15">
        <f t="shared" si="131"/>
        <v>240</v>
      </c>
      <c r="Q47" s="16"/>
      <c r="R47" s="15">
        <v>44</v>
      </c>
      <c r="S47" s="15">
        <f t="shared" si="132"/>
        <v>0</v>
      </c>
      <c r="T47" s="15">
        <f t="shared" si="133"/>
        <v>264</v>
      </c>
      <c r="U47" s="16"/>
      <c r="V47" s="15">
        <v>44</v>
      </c>
      <c r="W47" s="15">
        <f t="shared" si="134"/>
        <v>0</v>
      </c>
      <c r="X47" s="15">
        <f t="shared" si="135"/>
        <v>264</v>
      </c>
      <c r="Y47" s="16"/>
      <c r="Z47" s="15">
        <v>21</v>
      </c>
      <c r="AA47" s="15">
        <f t="shared" si="136"/>
        <v>0</v>
      </c>
      <c r="AB47" s="15">
        <f t="shared" si="137"/>
        <v>126</v>
      </c>
      <c r="AC47" s="16"/>
      <c r="AD47" s="15">
        <v>52</v>
      </c>
      <c r="AE47" s="15">
        <f t="shared" si="138"/>
        <v>0</v>
      </c>
      <c r="AF47" s="15">
        <f t="shared" si="139"/>
        <v>312</v>
      </c>
      <c r="AG47" s="16"/>
      <c r="AH47" s="15">
        <v>45</v>
      </c>
      <c r="AI47" s="15">
        <f t="shared" si="140"/>
        <v>0</v>
      </c>
      <c r="AJ47" s="15">
        <f t="shared" si="141"/>
        <v>270</v>
      </c>
      <c r="AK47" s="16"/>
      <c r="AL47" s="15">
        <v>32</v>
      </c>
      <c r="AM47" s="15">
        <f t="shared" si="142"/>
        <v>0</v>
      </c>
      <c r="AN47" s="15">
        <f t="shared" si="143"/>
        <v>192</v>
      </c>
      <c r="AO47" s="16"/>
      <c r="AP47" s="15">
        <v>36</v>
      </c>
      <c r="AQ47" s="15">
        <f t="shared" si="144"/>
        <v>0</v>
      </c>
      <c r="AR47" s="15">
        <f t="shared" si="145"/>
        <v>216</v>
      </c>
      <c r="AS47" s="16"/>
      <c r="AT47" s="15">
        <v>28</v>
      </c>
      <c r="AU47" s="15">
        <f t="shared" si="146"/>
        <v>0</v>
      </c>
      <c r="AV47" s="15">
        <f t="shared" si="147"/>
        <v>168</v>
      </c>
      <c r="AW47" s="16"/>
      <c r="AX47" s="15">
        <v>41</v>
      </c>
      <c r="AY47" s="15">
        <f t="shared" si="148"/>
        <v>0</v>
      </c>
      <c r="AZ47" s="15">
        <f t="shared" si="149"/>
        <v>246</v>
      </c>
      <c r="BA47" s="16"/>
      <c r="BB47" s="15">
        <v>42</v>
      </c>
      <c r="BC47" s="15">
        <f t="shared" si="150"/>
        <v>0</v>
      </c>
      <c r="BD47" s="15">
        <f t="shared" si="151"/>
        <v>252</v>
      </c>
      <c r="BE47" s="16"/>
      <c r="BF47" s="15">
        <v>43</v>
      </c>
      <c r="BG47" s="15">
        <f t="shared" si="152"/>
        <v>0</v>
      </c>
      <c r="BH47" s="15">
        <f t="shared" si="153"/>
        <v>258</v>
      </c>
      <c r="BI47" s="16"/>
      <c r="BJ47" s="15">
        <v>51</v>
      </c>
      <c r="BK47" s="15">
        <f t="shared" si="154"/>
        <v>0</v>
      </c>
      <c r="BL47" s="15">
        <f t="shared" si="155"/>
        <v>306</v>
      </c>
      <c r="BM47" s="16"/>
      <c r="BN47" s="15">
        <v>45</v>
      </c>
      <c r="BO47" s="15">
        <f t="shared" si="156"/>
        <v>0</v>
      </c>
      <c r="BP47" s="15">
        <f t="shared" si="157"/>
        <v>270</v>
      </c>
      <c r="BQ47" s="16"/>
      <c r="BR47" s="15">
        <v>28</v>
      </c>
      <c r="BS47" s="15">
        <f t="shared" si="158"/>
        <v>0</v>
      </c>
      <c r="BT47" s="15">
        <f t="shared" si="159"/>
        <v>168</v>
      </c>
      <c r="BU47" s="16"/>
      <c r="BV47" s="15">
        <v>54</v>
      </c>
      <c r="BW47" s="15">
        <f t="shared" si="160"/>
        <v>0</v>
      </c>
      <c r="BX47" s="15">
        <f t="shared" si="161"/>
        <v>324</v>
      </c>
      <c r="BY47" s="16"/>
      <c r="BZ47" s="15">
        <v>41</v>
      </c>
      <c r="CA47" s="15">
        <f t="shared" si="162"/>
        <v>0</v>
      </c>
      <c r="CB47" s="15">
        <f t="shared" si="163"/>
        <v>246</v>
      </c>
      <c r="CC47" s="16"/>
      <c r="CD47" s="15">
        <v>45</v>
      </c>
      <c r="CE47" s="15">
        <f t="shared" si="164"/>
        <v>0</v>
      </c>
      <c r="CF47" s="15">
        <f t="shared" si="165"/>
        <v>270</v>
      </c>
      <c r="CG47" s="16"/>
      <c r="CH47" s="15">
        <v>34</v>
      </c>
      <c r="CI47" s="15">
        <f t="shared" si="166"/>
        <v>0</v>
      </c>
      <c r="CJ47" s="15">
        <f t="shared" si="167"/>
        <v>204</v>
      </c>
      <c r="CK47" s="16"/>
      <c r="CL47" s="15">
        <v>46</v>
      </c>
      <c r="CM47" s="15">
        <f t="shared" si="168"/>
        <v>0</v>
      </c>
      <c r="CN47" s="15">
        <f t="shared" si="169"/>
        <v>276</v>
      </c>
      <c r="CO47" s="16"/>
      <c r="CP47" s="15">
        <v>43</v>
      </c>
      <c r="CQ47" s="15">
        <f t="shared" si="170"/>
        <v>0</v>
      </c>
      <c r="CR47" s="15">
        <f t="shared" si="171"/>
        <v>258</v>
      </c>
      <c r="CS47" s="16"/>
      <c r="CT47" s="15">
        <v>38</v>
      </c>
      <c r="CU47" s="15">
        <f t="shared" si="172"/>
        <v>0</v>
      </c>
      <c r="CV47" s="15">
        <f t="shared" si="173"/>
        <v>228</v>
      </c>
      <c r="CW47" s="16"/>
      <c r="CX47" s="15">
        <v>54</v>
      </c>
      <c r="CY47" s="15">
        <f t="shared" si="174"/>
        <v>0</v>
      </c>
      <c r="CZ47" s="15">
        <f t="shared" si="175"/>
        <v>324</v>
      </c>
      <c r="DA47" s="16"/>
      <c r="DB47" s="15">
        <v>32</v>
      </c>
      <c r="DC47" s="15">
        <f t="shared" si="176"/>
        <v>0</v>
      </c>
      <c r="DD47" s="15">
        <f t="shared" si="177"/>
        <v>192</v>
      </c>
      <c r="DE47" s="16"/>
      <c r="DF47" s="15">
        <v>42</v>
      </c>
      <c r="DG47" s="15">
        <f t="shared" si="178"/>
        <v>0</v>
      </c>
      <c r="DH47" s="15">
        <f t="shared" si="179"/>
        <v>252</v>
      </c>
      <c r="DI47" s="16"/>
      <c r="DJ47" s="15"/>
      <c r="DK47" s="15">
        <f t="shared" si="180"/>
        <v>0</v>
      </c>
      <c r="DL47" s="15">
        <f t="shared" si="181"/>
        <v>0</v>
      </c>
      <c r="DM47" s="16"/>
      <c r="DN47" s="15"/>
      <c r="DO47" s="15">
        <f t="shared" si="182"/>
        <v>0</v>
      </c>
      <c r="DP47" s="15">
        <f t="shared" si="183"/>
        <v>0</v>
      </c>
      <c r="DQ47" s="16"/>
      <c r="DR47" s="15"/>
      <c r="DS47" s="15">
        <f t="shared" si="184"/>
        <v>0</v>
      </c>
      <c r="DT47" s="15">
        <f t="shared" si="185"/>
        <v>0</v>
      </c>
      <c r="DU47" s="16"/>
      <c r="DV47" s="15"/>
      <c r="DW47" s="15"/>
      <c r="DX47" s="15">
        <f t="shared" si="186"/>
        <v>0</v>
      </c>
      <c r="DZ47" s="15">
        <f t="shared" si="187"/>
        <v>54</v>
      </c>
      <c r="EA47" s="15">
        <f t="shared" si="188"/>
        <v>21</v>
      </c>
    </row>
    <row r="48" spans="1:131" s="14" customFormat="1" x14ac:dyDescent="0.2">
      <c r="A48" s="15">
        <v>11</v>
      </c>
      <c r="B48" s="14" t="s">
        <v>70</v>
      </c>
      <c r="C48" s="15">
        <v>0</v>
      </c>
      <c r="D48" s="15">
        <v>1</v>
      </c>
      <c r="E48" s="16"/>
      <c r="F48" s="15">
        <v>27</v>
      </c>
      <c r="G48" s="15">
        <f t="shared" si="126"/>
        <v>0</v>
      </c>
      <c r="H48" s="15">
        <f t="shared" si="127"/>
        <v>162</v>
      </c>
      <c r="I48" s="16"/>
      <c r="J48" s="15">
        <v>28</v>
      </c>
      <c r="K48" s="15">
        <f t="shared" si="128"/>
        <v>0</v>
      </c>
      <c r="L48" s="15">
        <f t="shared" si="129"/>
        <v>168</v>
      </c>
      <c r="M48" s="16"/>
      <c r="N48" s="15">
        <v>23</v>
      </c>
      <c r="O48" s="15">
        <f t="shared" si="130"/>
        <v>0</v>
      </c>
      <c r="P48" s="15">
        <f t="shared" si="131"/>
        <v>138</v>
      </c>
      <c r="Q48" s="16"/>
      <c r="R48" s="15">
        <v>22</v>
      </c>
      <c r="S48" s="15">
        <f t="shared" si="132"/>
        <v>0</v>
      </c>
      <c r="T48" s="15">
        <f t="shared" si="133"/>
        <v>132</v>
      </c>
      <c r="U48" s="16"/>
      <c r="V48" s="15">
        <v>31</v>
      </c>
      <c r="W48" s="15">
        <f t="shared" si="134"/>
        <v>0</v>
      </c>
      <c r="X48" s="15">
        <f t="shared" si="135"/>
        <v>186</v>
      </c>
      <c r="Y48" s="16"/>
      <c r="Z48" s="15">
        <v>22</v>
      </c>
      <c r="AA48" s="15">
        <f t="shared" si="136"/>
        <v>0</v>
      </c>
      <c r="AB48" s="15">
        <f t="shared" si="137"/>
        <v>132</v>
      </c>
      <c r="AC48" s="16"/>
      <c r="AD48" s="15">
        <v>14</v>
      </c>
      <c r="AE48" s="15">
        <f t="shared" si="138"/>
        <v>0</v>
      </c>
      <c r="AF48" s="15">
        <f t="shared" si="139"/>
        <v>84</v>
      </c>
      <c r="AG48" s="16"/>
      <c r="AH48" s="15">
        <v>17</v>
      </c>
      <c r="AI48" s="15">
        <f t="shared" si="140"/>
        <v>0</v>
      </c>
      <c r="AJ48" s="15">
        <f t="shared" si="141"/>
        <v>102</v>
      </c>
      <c r="AK48" s="16"/>
      <c r="AL48" s="15">
        <v>40</v>
      </c>
      <c r="AM48" s="15">
        <f t="shared" si="142"/>
        <v>0</v>
      </c>
      <c r="AN48" s="15">
        <f t="shared" si="143"/>
        <v>240</v>
      </c>
      <c r="AO48" s="16"/>
      <c r="AP48" s="15">
        <v>35</v>
      </c>
      <c r="AQ48" s="15">
        <f t="shared" si="144"/>
        <v>0</v>
      </c>
      <c r="AR48" s="15">
        <f t="shared" si="145"/>
        <v>210</v>
      </c>
      <c r="AS48" s="16"/>
      <c r="AT48" s="15">
        <v>21</v>
      </c>
      <c r="AU48" s="15">
        <f t="shared" si="146"/>
        <v>0</v>
      </c>
      <c r="AV48" s="15">
        <f t="shared" si="147"/>
        <v>126</v>
      </c>
      <c r="AW48" s="16"/>
      <c r="AX48" s="15">
        <v>24</v>
      </c>
      <c r="AY48" s="15">
        <f t="shared" si="148"/>
        <v>0</v>
      </c>
      <c r="AZ48" s="15">
        <f t="shared" si="149"/>
        <v>144</v>
      </c>
      <c r="BA48" s="16"/>
      <c r="BB48" s="15">
        <v>19</v>
      </c>
      <c r="BC48" s="15">
        <f t="shared" si="150"/>
        <v>0</v>
      </c>
      <c r="BD48" s="15">
        <f t="shared" si="151"/>
        <v>114</v>
      </c>
      <c r="BE48" s="16"/>
      <c r="BF48" s="15">
        <v>25</v>
      </c>
      <c r="BG48" s="15">
        <f t="shared" si="152"/>
        <v>0</v>
      </c>
      <c r="BH48" s="15">
        <f t="shared" si="153"/>
        <v>150</v>
      </c>
      <c r="BI48" s="16"/>
      <c r="BJ48" s="15">
        <v>28</v>
      </c>
      <c r="BK48" s="15">
        <f t="shared" si="154"/>
        <v>0</v>
      </c>
      <c r="BL48" s="15">
        <f t="shared" si="155"/>
        <v>168</v>
      </c>
      <c r="BM48" s="16"/>
      <c r="BN48" s="15">
        <v>32</v>
      </c>
      <c r="BO48" s="15">
        <f t="shared" si="156"/>
        <v>0</v>
      </c>
      <c r="BP48" s="15">
        <f t="shared" si="157"/>
        <v>192</v>
      </c>
      <c r="BQ48" s="16"/>
      <c r="BR48" s="15">
        <v>29</v>
      </c>
      <c r="BS48" s="15">
        <f t="shared" si="158"/>
        <v>0</v>
      </c>
      <c r="BT48" s="15">
        <f t="shared" si="159"/>
        <v>174</v>
      </c>
      <c r="BU48" s="16"/>
      <c r="BV48" s="15">
        <v>21</v>
      </c>
      <c r="BW48" s="15">
        <f t="shared" si="160"/>
        <v>0</v>
      </c>
      <c r="BX48" s="15">
        <f t="shared" si="161"/>
        <v>126</v>
      </c>
      <c r="BY48" s="16"/>
      <c r="BZ48" s="15">
        <v>13</v>
      </c>
      <c r="CA48" s="15">
        <f t="shared" si="162"/>
        <v>0</v>
      </c>
      <c r="CB48" s="15">
        <f t="shared" si="163"/>
        <v>78</v>
      </c>
      <c r="CC48" s="16"/>
      <c r="CD48" s="15">
        <v>19</v>
      </c>
      <c r="CE48" s="15">
        <f t="shared" si="164"/>
        <v>0</v>
      </c>
      <c r="CF48" s="15">
        <f t="shared" si="165"/>
        <v>114</v>
      </c>
      <c r="CG48" s="16"/>
      <c r="CH48" s="15">
        <v>27</v>
      </c>
      <c r="CI48" s="15">
        <f t="shared" si="166"/>
        <v>0</v>
      </c>
      <c r="CJ48" s="15">
        <f t="shared" si="167"/>
        <v>162</v>
      </c>
      <c r="CK48" s="16"/>
      <c r="CL48" s="15">
        <v>1</v>
      </c>
      <c r="CM48" s="15">
        <f t="shared" si="168"/>
        <v>0</v>
      </c>
      <c r="CN48" s="15">
        <f t="shared" si="169"/>
        <v>6</v>
      </c>
      <c r="CO48" s="16"/>
      <c r="CP48" s="15">
        <v>30</v>
      </c>
      <c r="CQ48" s="15">
        <f t="shared" si="170"/>
        <v>0</v>
      </c>
      <c r="CR48" s="15">
        <f t="shared" si="171"/>
        <v>180</v>
      </c>
      <c r="CS48" s="16"/>
      <c r="CT48" s="15">
        <v>27</v>
      </c>
      <c r="CU48" s="15">
        <f t="shared" si="172"/>
        <v>0</v>
      </c>
      <c r="CV48" s="15">
        <f t="shared" si="173"/>
        <v>162</v>
      </c>
      <c r="CW48" s="16"/>
      <c r="CX48" s="15">
        <v>42</v>
      </c>
      <c r="CY48" s="15">
        <f t="shared" si="174"/>
        <v>0</v>
      </c>
      <c r="CZ48" s="15">
        <f t="shared" si="175"/>
        <v>252</v>
      </c>
      <c r="DA48" s="16"/>
      <c r="DB48" s="15">
        <v>14</v>
      </c>
      <c r="DC48" s="15">
        <f t="shared" si="176"/>
        <v>0</v>
      </c>
      <c r="DD48" s="15">
        <f t="shared" si="177"/>
        <v>84</v>
      </c>
      <c r="DE48" s="16"/>
      <c r="DF48" s="15">
        <v>23</v>
      </c>
      <c r="DG48" s="15">
        <f t="shared" si="178"/>
        <v>0</v>
      </c>
      <c r="DH48" s="15">
        <f t="shared" si="179"/>
        <v>138</v>
      </c>
      <c r="DI48" s="16"/>
      <c r="DJ48" s="15"/>
      <c r="DK48" s="15">
        <f t="shared" si="180"/>
        <v>0</v>
      </c>
      <c r="DL48" s="15">
        <f t="shared" si="181"/>
        <v>0</v>
      </c>
      <c r="DM48" s="16"/>
      <c r="DN48" s="15"/>
      <c r="DO48" s="15">
        <f t="shared" si="182"/>
        <v>0</v>
      </c>
      <c r="DP48" s="15">
        <f t="shared" si="183"/>
        <v>0</v>
      </c>
      <c r="DQ48" s="16"/>
      <c r="DR48" s="15"/>
      <c r="DS48" s="15">
        <f t="shared" si="184"/>
        <v>0</v>
      </c>
      <c r="DT48" s="15">
        <f t="shared" si="185"/>
        <v>0</v>
      </c>
      <c r="DU48" s="16"/>
      <c r="DV48" s="15"/>
      <c r="DW48" s="15"/>
      <c r="DX48" s="15">
        <f t="shared" si="186"/>
        <v>0</v>
      </c>
      <c r="DZ48" s="15">
        <f t="shared" si="187"/>
        <v>40</v>
      </c>
      <c r="EA48" s="15">
        <f t="shared" si="188"/>
        <v>1</v>
      </c>
    </row>
    <row r="49" spans="1:131" s="14" customFormat="1" x14ac:dyDescent="0.2">
      <c r="A49" s="15">
        <v>3</v>
      </c>
      <c r="B49" s="14" t="s">
        <v>71</v>
      </c>
      <c r="C49" s="15">
        <v>0</v>
      </c>
      <c r="D49" s="15">
        <v>1</v>
      </c>
      <c r="E49" s="16"/>
      <c r="F49" s="15">
        <v>48</v>
      </c>
      <c r="G49" s="15">
        <f t="shared" si="126"/>
        <v>0</v>
      </c>
      <c r="H49" s="15">
        <f t="shared" si="127"/>
        <v>288</v>
      </c>
      <c r="I49" s="16"/>
      <c r="J49" s="15">
        <v>53</v>
      </c>
      <c r="K49" s="15">
        <f t="shared" si="128"/>
        <v>0</v>
      </c>
      <c r="L49" s="15">
        <f t="shared" si="129"/>
        <v>318</v>
      </c>
      <c r="M49" s="16"/>
      <c r="N49" s="15">
        <v>54</v>
      </c>
      <c r="O49" s="15">
        <f t="shared" si="130"/>
        <v>0</v>
      </c>
      <c r="P49" s="15">
        <f t="shared" si="131"/>
        <v>324</v>
      </c>
      <c r="Q49" s="16"/>
      <c r="R49" s="15">
        <v>52</v>
      </c>
      <c r="S49" s="15">
        <f t="shared" si="132"/>
        <v>0</v>
      </c>
      <c r="T49" s="15">
        <f t="shared" si="133"/>
        <v>312</v>
      </c>
      <c r="U49" s="16"/>
      <c r="V49" s="15">
        <v>53</v>
      </c>
      <c r="W49" s="15">
        <f t="shared" si="134"/>
        <v>0</v>
      </c>
      <c r="X49" s="15">
        <f t="shared" si="135"/>
        <v>318</v>
      </c>
      <c r="Y49" s="16"/>
      <c r="Z49" s="15">
        <v>56</v>
      </c>
      <c r="AA49" s="15">
        <f t="shared" si="136"/>
        <v>0</v>
      </c>
      <c r="AB49" s="15">
        <f t="shared" si="137"/>
        <v>336</v>
      </c>
      <c r="AC49" s="16"/>
      <c r="AD49" s="15">
        <v>49</v>
      </c>
      <c r="AE49" s="15">
        <f t="shared" si="138"/>
        <v>0</v>
      </c>
      <c r="AF49" s="15">
        <f t="shared" si="139"/>
        <v>294</v>
      </c>
      <c r="AG49" s="16"/>
      <c r="AH49" s="15">
        <v>58</v>
      </c>
      <c r="AI49" s="15">
        <f t="shared" si="140"/>
        <v>0</v>
      </c>
      <c r="AJ49" s="15">
        <f t="shared" si="141"/>
        <v>348</v>
      </c>
      <c r="AK49" s="16"/>
      <c r="AL49" s="15">
        <v>55</v>
      </c>
      <c r="AM49" s="15">
        <f t="shared" si="142"/>
        <v>0</v>
      </c>
      <c r="AN49" s="15">
        <f t="shared" si="143"/>
        <v>330</v>
      </c>
      <c r="AO49" s="16"/>
      <c r="AP49" s="15">
        <v>54</v>
      </c>
      <c r="AQ49" s="15">
        <f t="shared" si="144"/>
        <v>0</v>
      </c>
      <c r="AR49" s="15">
        <f t="shared" si="145"/>
        <v>324</v>
      </c>
      <c r="AS49" s="16"/>
      <c r="AT49" s="15">
        <v>56</v>
      </c>
      <c r="AU49" s="15">
        <f t="shared" si="146"/>
        <v>0</v>
      </c>
      <c r="AV49" s="15">
        <f t="shared" si="147"/>
        <v>336</v>
      </c>
      <c r="AW49" s="16"/>
      <c r="AX49" s="15">
        <v>50</v>
      </c>
      <c r="AY49" s="15">
        <f t="shared" si="148"/>
        <v>0</v>
      </c>
      <c r="AZ49" s="15">
        <f t="shared" si="149"/>
        <v>300</v>
      </c>
      <c r="BA49" s="16"/>
      <c r="BB49" s="15">
        <v>46</v>
      </c>
      <c r="BC49" s="15">
        <f t="shared" si="150"/>
        <v>0</v>
      </c>
      <c r="BD49" s="15">
        <f t="shared" si="151"/>
        <v>276</v>
      </c>
      <c r="BE49" s="16"/>
      <c r="BF49" s="15">
        <v>52</v>
      </c>
      <c r="BG49" s="15">
        <f t="shared" si="152"/>
        <v>0</v>
      </c>
      <c r="BH49" s="15">
        <f t="shared" si="153"/>
        <v>312</v>
      </c>
      <c r="BI49" s="16"/>
      <c r="BJ49" s="15">
        <v>48</v>
      </c>
      <c r="BK49" s="15">
        <f t="shared" si="154"/>
        <v>0</v>
      </c>
      <c r="BL49" s="15">
        <f t="shared" si="155"/>
        <v>288</v>
      </c>
      <c r="BM49" s="16"/>
      <c r="BN49" s="15">
        <v>51</v>
      </c>
      <c r="BO49" s="15">
        <f t="shared" si="156"/>
        <v>0</v>
      </c>
      <c r="BP49" s="15">
        <f t="shared" si="157"/>
        <v>306</v>
      </c>
      <c r="BQ49" s="16"/>
      <c r="BR49" s="15">
        <v>64</v>
      </c>
      <c r="BS49" s="15">
        <f t="shared" si="158"/>
        <v>0</v>
      </c>
      <c r="BT49" s="15">
        <f t="shared" si="159"/>
        <v>384</v>
      </c>
      <c r="BU49" s="16"/>
      <c r="BV49" s="15">
        <v>40</v>
      </c>
      <c r="BW49" s="15">
        <f t="shared" si="160"/>
        <v>0</v>
      </c>
      <c r="BX49" s="15">
        <f t="shared" si="161"/>
        <v>240</v>
      </c>
      <c r="BY49" s="16"/>
      <c r="BZ49" s="15">
        <v>56</v>
      </c>
      <c r="CA49" s="15">
        <f t="shared" si="162"/>
        <v>0</v>
      </c>
      <c r="CB49" s="15">
        <f t="shared" si="163"/>
        <v>336</v>
      </c>
      <c r="CC49" s="16"/>
      <c r="CD49" s="15">
        <v>51</v>
      </c>
      <c r="CE49" s="15">
        <f t="shared" si="164"/>
        <v>0</v>
      </c>
      <c r="CF49" s="15">
        <f t="shared" si="165"/>
        <v>306</v>
      </c>
      <c r="CG49" s="16"/>
      <c r="CH49" s="15">
        <v>57</v>
      </c>
      <c r="CI49" s="15">
        <f t="shared" si="166"/>
        <v>0</v>
      </c>
      <c r="CJ49" s="15">
        <f t="shared" si="167"/>
        <v>342</v>
      </c>
      <c r="CK49" s="16"/>
      <c r="CL49" s="15">
        <v>53</v>
      </c>
      <c r="CM49" s="15">
        <f t="shared" si="168"/>
        <v>0</v>
      </c>
      <c r="CN49" s="15">
        <f t="shared" si="169"/>
        <v>318</v>
      </c>
      <c r="CO49" s="16"/>
      <c r="CP49" s="15">
        <v>56</v>
      </c>
      <c r="CQ49" s="15">
        <f t="shared" si="170"/>
        <v>0</v>
      </c>
      <c r="CR49" s="15">
        <f t="shared" si="171"/>
        <v>336</v>
      </c>
      <c r="CS49" s="16"/>
      <c r="CT49" s="15">
        <v>54</v>
      </c>
      <c r="CU49" s="15">
        <f t="shared" si="172"/>
        <v>0</v>
      </c>
      <c r="CV49" s="15">
        <f t="shared" si="173"/>
        <v>324</v>
      </c>
      <c r="CW49" s="16"/>
      <c r="CX49" s="15">
        <v>20</v>
      </c>
      <c r="CY49" s="15">
        <f t="shared" si="174"/>
        <v>0</v>
      </c>
      <c r="CZ49" s="15">
        <f t="shared" si="175"/>
        <v>120</v>
      </c>
      <c r="DA49" s="16"/>
      <c r="DB49" s="15">
        <v>49</v>
      </c>
      <c r="DC49" s="15">
        <f t="shared" si="176"/>
        <v>0</v>
      </c>
      <c r="DD49" s="15">
        <f t="shared" si="177"/>
        <v>294</v>
      </c>
      <c r="DE49" s="16"/>
      <c r="DF49" s="15">
        <v>54</v>
      </c>
      <c r="DG49" s="15">
        <f t="shared" si="178"/>
        <v>0</v>
      </c>
      <c r="DH49" s="15">
        <f t="shared" si="179"/>
        <v>324</v>
      </c>
      <c r="DI49" s="16"/>
      <c r="DJ49" s="15"/>
      <c r="DK49" s="15">
        <f t="shared" si="180"/>
        <v>0</v>
      </c>
      <c r="DL49" s="15">
        <f t="shared" si="181"/>
        <v>0</v>
      </c>
      <c r="DM49" s="16"/>
      <c r="DN49" s="15"/>
      <c r="DO49" s="15">
        <f t="shared" si="182"/>
        <v>0</v>
      </c>
      <c r="DP49" s="15">
        <f t="shared" si="183"/>
        <v>0</v>
      </c>
      <c r="DQ49" s="16"/>
      <c r="DR49" s="15"/>
      <c r="DS49" s="15">
        <f t="shared" si="184"/>
        <v>0</v>
      </c>
      <c r="DT49" s="15">
        <f t="shared" si="185"/>
        <v>0</v>
      </c>
      <c r="DU49" s="16"/>
      <c r="DV49" s="15"/>
      <c r="DW49" s="15"/>
      <c r="DX49" s="15">
        <f t="shared" si="186"/>
        <v>0</v>
      </c>
      <c r="DZ49" s="15">
        <f t="shared" si="187"/>
        <v>64</v>
      </c>
      <c r="EA49" s="15">
        <f t="shared" si="188"/>
        <v>40</v>
      </c>
    </row>
    <row r="50" spans="1:131" s="14" customFormat="1" x14ac:dyDescent="0.2">
      <c r="A50" s="15">
        <v>14</v>
      </c>
      <c r="B50" s="14" t="s">
        <v>72</v>
      </c>
      <c r="C50" s="15">
        <v>0</v>
      </c>
      <c r="D50" s="15">
        <v>1</v>
      </c>
      <c r="E50" s="16"/>
      <c r="F50" s="15">
        <v>13</v>
      </c>
      <c r="G50" s="15">
        <f t="shared" si="126"/>
        <v>0</v>
      </c>
      <c r="H50" s="15">
        <f t="shared" si="127"/>
        <v>78</v>
      </c>
      <c r="I50" s="16"/>
      <c r="J50" s="15">
        <v>9</v>
      </c>
      <c r="K50" s="15">
        <f t="shared" si="128"/>
        <v>0</v>
      </c>
      <c r="L50" s="15">
        <f t="shared" si="129"/>
        <v>54</v>
      </c>
      <c r="M50" s="16"/>
      <c r="N50" s="15">
        <v>10</v>
      </c>
      <c r="O50" s="15">
        <f t="shared" si="130"/>
        <v>0</v>
      </c>
      <c r="P50" s="15">
        <f t="shared" si="131"/>
        <v>60</v>
      </c>
      <c r="Q50" s="16"/>
      <c r="R50" s="15">
        <v>14</v>
      </c>
      <c r="S50" s="15">
        <f t="shared" si="132"/>
        <v>0</v>
      </c>
      <c r="T50" s="15">
        <f t="shared" si="133"/>
        <v>84</v>
      </c>
      <c r="U50" s="16"/>
      <c r="V50" s="15">
        <v>11</v>
      </c>
      <c r="W50" s="15">
        <f t="shared" si="134"/>
        <v>0</v>
      </c>
      <c r="X50" s="15">
        <f t="shared" si="135"/>
        <v>66</v>
      </c>
      <c r="Y50" s="16"/>
      <c r="Z50" s="15">
        <v>23</v>
      </c>
      <c r="AA50" s="15">
        <f t="shared" si="136"/>
        <v>0</v>
      </c>
      <c r="AB50" s="15">
        <f t="shared" si="137"/>
        <v>138</v>
      </c>
      <c r="AC50" s="16"/>
      <c r="AD50" s="15">
        <v>15</v>
      </c>
      <c r="AE50" s="15">
        <f t="shared" si="138"/>
        <v>0</v>
      </c>
      <c r="AF50" s="15">
        <f t="shared" si="139"/>
        <v>90</v>
      </c>
      <c r="AG50" s="16"/>
      <c r="AH50" s="15">
        <v>7</v>
      </c>
      <c r="AI50" s="15">
        <f t="shared" si="140"/>
        <v>0</v>
      </c>
      <c r="AJ50" s="15">
        <f t="shared" si="141"/>
        <v>42</v>
      </c>
      <c r="AK50" s="16"/>
      <c r="AL50" s="15">
        <v>10</v>
      </c>
      <c r="AM50" s="15">
        <f t="shared" si="142"/>
        <v>0</v>
      </c>
      <c r="AN50" s="15">
        <f t="shared" si="143"/>
        <v>60</v>
      </c>
      <c r="AO50" s="16"/>
      <c r="AP50" s="15">
        <v>10</v>
      </c>
      <c r="AQ50" s="15">
        <f t="shared" si="144"/>
        <v>0</v>
      </c>
      <c r="AR50" s="15">
        <f t="shared" si="145"/>
        <v>60</v>
      </c>
      <c r="AS50" s="16"/>
      <c r="AT50" s="15">
        <v>3</v>
      </c>
      <c r="AU50" s="15">
        <f t="shared" si="146"/>
        <v>0</v>
      </c>
      <c r="AV50" s="15">
        <f t="shared" si="147"/>
        <v>18</v>
      </c>
      <c r="AW50" s="16"/>
      <c r="AX50" s="15">
        <v>9</v>
      </c>
      <c r="AY50" s="15">
        <f t="shared" si="148"/>
        <v>0</v>
      </c>
      <c r="AZ50" s="15">
        <f t="shared" si="149"/>
        <v>54</v>
      </c>
      <c r="BA50" s="16"/>
      <c r="BB50" s="15">
        <v>10</v>
      </c>
      <c r="BC50" s="15">
        <f t="shared" si="150"/>
        <v>0</v>
      </c>
      <c r="BD50" s="15">
        <f t="shared" si="151"/>
        <v>60</v>
      </c>
      <c r="BE50" s="16"/>
      <c r="BF50" s="15">
        <v>9</v>
      </c>
      <c r="BG50" s="15">
        <f t="shared" si="152"/>
        <v>0</v>
      </c>
      <c r="BH50" s="15">
        <f t="shared" si="153"/>
        <v>54</v>
      </c>
      <c r="BI50" s="16"/>
      <c r="BJ50" s="15">
        <v>11</v>
      </c>
      <c r="BK50" s="15">
        <f t="shared" si="154"/>
        <v>0</v>
      </c>
      <c r="BL50" s="15">
        <f t="shared" si="155"/>
        <v>66</v>
      </c>
      <c r="BM50" s="16"/>
      <c r="BN50" s="15">
        <v>6</v>
      </c>
      <c r="BO50" s="15">
        <f t="shared" si="156"/>
        <v>0</v>
      </c>
      <c r="BP50" s="15">
        <f t="shared" si="157"/>
        <v>36</v>
      </c>
      <c r="BQ50" s="16"/>
      <c r="BR50" s="15">
        <v>12</v>
      </c>
      <c r="BS50" s="15">
        <f t="shared" si="158"/>
        <v>0</v>
      </c>
      <c r="BT50" s="15">
        <f t="shared" si="159"/>
        <v>72</v>
      </c>
      <c r="BU50" s="16"/>
      <c r="BV50" s="15">
        <v>22</v>
      </c>
      <c r="BW50" s="15">
        <f t="shared" si="160"/>
        <v>0</v>
      </c>
      <c r="BX50" s="15">
        <f t="shared" si="161"/>
        <v>132</v>
      </c>
      <c r="BY50" s="16"/>
      <c r="BZ50" s="15">
        <v>17</v>
      </c>
      <c r="CA50" s="15">
        <f t="shared" si="162"/>
        <v>0</v>
      </c>
      <c r="CB50" s="15">
        <f t="shared" si="163"/>
        <v>102</v>
      </c>
      <c r="CC50" s="16"/>
      <c r="CD50" s="15">
        <v>11</v>
      </c>
      <c r="CE50" s="15">
        <f t="shared" si="164"/>
        <v>0</v>
      </c>
      <c r="CF50" s="15">
        <f t="shared" si="165"/>
        <v>66</v>
      </c>
      <c r="CG50" s="16"/>
      <c r="CH50" s="15">
        <v>11</v>
      </c>
      <c r="CI50" s="15">
        <f t="shared" si="166"/>
        <v>0</v>
      </c>
      <c r="CJ50" s="15">
        <f t="shared" si="167"/>
        <v>66</v>
      </c>
      <c r="CK50" s="16"/>
      <c r="CL50" s="15">
        <v>16</v>
      </c>
      <c r="CM50" s="15">
        <f t="shared" si="168"/>
        <v>0</v>
      </c>
      <c r="CN50" s="15">
        <f t="shared" si="169"/>
        <v>96</v>
      </c>
      <c r="CO50" s="16"/>
      <c r="CP50" s="15">
        <v>11</v>
      </c>
      <c r="CQ50" s="15">
        <f t="shared" si="170"/>
        <v>0</v>
      </c>
      <c r="CR50" s="15">
        <f t="shared" si="171"/>
        <v>66</v>
      </c>
      <c r="CS50" s="16"/>
      <c r="CT50" s="15">
        <v>11</v>
      </c>
      <c r="CU50" s="15">
        <f t="shared" si="172"/>
        <v>0</v>
      </c>
      <c r="CV50" s="15">
        <f t="shared" si="173"/>
        <v>66</v>
      </c>
      <c r="CW50" s="16"/>
      <c r="CX50" s="15">
        <v>15</v>
      </c>
      <c r="CY50" s="15">
        <f t="shared" si="174"/>
        <v>0</v>
      </c>
      <c r="CZ50" s="15">
        <f t="shared" si="175"/>
        <v>90</v>
      </c>
      <c r="DA50" s="16"/>
      <c r="DB50" s="15">
        <v>25</v>
      </c>
      <c r="DC50" s="15">
        <f t="shared" si="176"/>
        <v>0</v>
      </c>
      <c r="DD50" s="15">
        <f t="shared" si="177"/>
        <v>150</v>
      </c>
      <c r="DE50" s="16"/>
      <c r="DF50" s="15">
        <v>11</v>
      </c>
      <c r="DG50" s="15">
        <f t="shared" si="178"/>
        <v>0</v>
      </c>
      <c r="DH50" s="15">
        <f t="shared" si="179"/>
        <v>66</v>
      </c>
      <c r="DI50" s="16"/>
      <c r="DJ50" s="15"/>
      <c r="DK50" s="15">
        <f t="shared" si="180"/>
        <v>0</v>
      </c>
      <c r="DL50" s="15">
        <f t="shared" si="181"/>
        <v>0</v>
      </c>
      <c r="DM50" s="16"/>
      <c r="DN50" s="15"/>
      <c r="DO50" s="15">
        <f t="shared" si="182"/>
        <v>0</v>
      </c>
      <c r="DP50" s="15">
        <f t="shared" si="183"/>
        <v>0</v>
      </c>
      <c r="DQ50" s="16"/>
      <c r="DR50" s="15"/>
      <c r="DS50" s="15">
        <f t="shared" si="184"/>
        <v>0</v>
      </c>
      <c r="DT50" s="15">
        <f t="shared" si="185"/>
        <v>0</v>
      </c>
      <c r="DU50" s="16"/>
      <c r="DV50" s="15"/>
      <c r="DW50" s="15"/>
      <c r="DX50" s="15">
        <f t="shared" si="186"/>
        <v>0</v>
      </c>
      <c r="DZ50" s="15">
        <f t="shared" si="187"/>
        <v>23</v>
      </c>
      <c r="EA50" s="15">
        <f t="shared" si="188"/>
        <v>3</v>
      </c>
    </row>
    <row r="51" spans="1:131" s="14" customFormat="1" x14ac:dyDescent="0.2">
      <c r="A51" s="15">
        <v>7</v>
      </c>
      <c r="B51" s="14" t="s">
        <v>73</v>
      </c>
      <c r="C51" s="15">
        <v>0</v>
      </c>
      <c r="D51" s="15">
        <v>1</v>
      </c>
      <c r="E51" s="16"/>
      <c r="F51" s="15">
        <v>34</v>
      </c>
      <c r="G51" s="15">
        <f t="shared" si="126"/>
        <v>0</v>
      </c>
      <c r="H51" s="15">
        <f t="shared" si="127"/>
        <v>204</v>
      </c>
      <c r="I51" s="16"/>
      <c r="J51" s="15">
        <v>37</v>
      </c>
      <c r="K51" s="15">
        <f t="shared" si="128"/>
        <v>0</v>
      </c>
      <c r="L51" s="15">
        <f t="shared" si="129"/>
        <v>222</v>
      </c>
      <c r="M51" s="16"/>
      <c r="N51" s="15">
        <v>36</v>
      </c>
      <c r="O51" s="15">
        <f t="shared" si="130"/>
        <v>0</v>
      </c>
      <c r="P51" s="15">
        <f t="shared" si="131"/>
        <v>216</v>
      </c>
      <c r="Q51" s="16"/>
      <c r="R51" s="15">
        <v>29</v>
      </c>
      <c r="S51" s="15">
        <f t="shared" si="132"/>
        <v>0</v>
      </c>
      <c r="T51" s="15">
        <f t="shared" si="133"/>
        <v>174</v>
      </c>
      <c r="U51" s="16"/>
      <c r="V51" s="15">
        <v>36</v>
      </c>
      <c r="W51" s="15">
        <f t="shared" si="134"/>
        <v>0</v>
      </c>
      <c r="X51" s="15">
        <f t="shared" si="135"/>
        <v>216</v>
      </c>
      <c r="Y51" s="16"/>
      <c r="Z51" s="15">
        <v>48</v>
      </c>
      <c r="AA51" s="15">
        <f t="shared" si="136"/>
        <v>0</v>
      </c>
      <c r="AB51" s="15">
        <f t="shared" si="137"/>
        <v>288</v>
      </c>
      <c r="AC51" s="16"/>
      <c r="AD51" s="15">
        <v>61</v>
      </c>
      <c r="AE51" s="15">
        <f t="shared" si="138"/>
        <v>0</v>
      </c>
      <c r="AF51" s="15">
        <f t="shared" si="139"/>
        <v>366</v>
      </c>
      <c r="AG51" s="16"/>
      <c r="AH51" s="15">
        <v>41</v>
      </c>
      <c r="AI51" s="15">
        <f t="shared" si="140"/>
        <v>0</v>
      </c>
      <c r="AJ51" s="15">
        <f t="shared" si="141"/>
        <v>246</v>
      </c>
      <c r="AK51" s="16"/>
      <c r="AL51" s="15">
        <v>42</v>
      </c>
      <c r="AM51" s="15">
        <f t="shared" si="142"/>
        <v>0</v>
      </c>
      <c r="AN51" s="15">
        <f t="shared" si="143"/>
        <v>252</v>
      </c>
      <c r="AO51" s="16"/>
      <c r="AP51" s="15">
        <v>33</v>
      </c>
      <c r="AQ51" s="15">
        <f t="shared" si="144"/>
        <v>0</v>
      </c>
      <c r="AR51" s="15">
        <f t="shared" si="145"/>
        <v>198</v>
      </c>
      <c r="AS51" s="16"/>
      <c r="AT51" s="15">
        <v>42</v>
      </c>
      <c r="AU51" s="15">
        <f t="shared" si="146"/>
        <v>0</v>
      </c>
      <c r="AV51" s="15">
        <f t="shared" si="147"/>
        <v>252</v>
      </c>
      <c r="AW51" s="16"/>
      <c r="AX51" s="15">
        <v>38</v>
      </c>
      <c r="AY51" s="15">
        <f t="shared" si="148"/>
        <v>0</v>
      </c>
      <c r="AZ51" s="15">
        <f t="shared" si="149"/>
        <v>228</v>
      </c>
      <c r="BA51" s="16"/>
      <c r="BB51" s="15">
        <v>45</v>
      </c>
      <c r="BC51" s="15">
        <f t="shared" si="150"/>
        <v>0</v>
      </c>
      <c r="BD51" s="15">
        <f t="shared" si="151"/>
        <v>270</v>
      </c>
      <c r="BE51" s="16"/>
      <c r="BF51" s="15">
        <v>35</v>
      </c>
      <c r="BG51" s="15">
        <f t="shared" si="152"/>
        <v>0</v>
      </c>
      <c r="BH51" s="15">
        <f t="shared" si="153"/>
        <v>210</v>
      </c>
      <c r="BI51" s="16"/>
      <c r="BJ51" s="15">
        <v>41</v>
      </c>
      <c r="BK51" s="15">
        <f t="shared" si="154"/>
        <v>0</v>
      </c>
      <c r="BL51" s="15">
        <f t="shared" si="155"/>
        <v>246</v>
      </c>
      <c r="BM51" s="16"/>
      <c r="BN51" s="15">
        <v>35</v>
      </c>
      <c r="BO51" s="15">
        <f t="shared" si="156"/>
        <v>0</v>
      </c>
      <c r="BP51" s="15">
        <f t="shared" si="157"/>
        <v>210</v>
      </c>
      <c r="BQ51" s="16"/>
      <c r="BR51" s="15">
        <v>34</v>
      </c>
      <c r="BS51" s="15">
        <f t="shared" si="158"/>
        <v>0</v>
      </c>
      <c r="BT51" s="15">
        <f t="shared" si="159"/>
        <v>204</v>
      </c>
      <c r="BU51" s="16"/>
      <c r="BV51" s="15">
        <v>39</v>
      </c>
      <c r="BW51" s="15">
        <f t="shared" si="160"/>
        <v>0</v>
      </c>
      <c r="BX51" s="15">
        <f t="shared" si="161"/>
        <v>234</v>
      </c>
      <c r="BY51" s="16"/>
      <c r="BZ51" s="15">
        <v>40</v>
      </c>
      <c r="CA51" s="15">
        <f t="shared" si="162"/>
        <v>0</v>
      </c>
      <c r="CB51" s="15">
        <f t="shared" si="163"/>
        <v>240</v>
      </c>
      <c r="CC51" s="16"/>
      <c r="CD51" s="15">
        <v>27</v>
      </c>
      <c r="CE51" s="15">
        <f t="shared" si="164"/>
        <v>0</v>
      </c>
      <c r="CF51" s="15">
        <f t="shared" si="165"/>
        <v>162</v>
      </c>
      <c r="CG51" s="16"/>
      <c r="CH51" s="15">
        <v>35</v>
      </c>
      <c r="CI51" s="15">
        <f t="shared" si="166"/>
        <v>0</v>
      </c>
      <c r="CJ51" s="15">
        <f t="shared" si="167"/>
        <v>210</v>
      </c>
      <c r="CK51" s="16"/>
      <c r="CL51" s="15">
        <v>29</v>
      </c>
      <c r="CM51" s="15">
        <f t="shared" si="168"/>
        <v>0</v>
      </c>
      <c r="CN51" s="15">
        <f t="shared" si="169"/>
        <v>174</v>
      </c>
      <c r="CO51" s="16"/>
      <c r="CP51" s="15">
        <v>33</v>
      </c>
      <c r="CQ51" s="15">
        <f t="shared" si="170"/>
        <v>0</v>
      </c>
      <c r="CR51" s="15">
        <f t="shared" si="171"/>
        <v>198</v>
      </c>
      <c r="CS51" s="16"/>
      <c r="CT51" s="15">
        <v>20</v>
      </c>
      <c r="CU51" s="15">
        <f t="shared" si="172"/>
        <v>0</v>
      </c>
      <c r="CV51" s="15">
        <f t="shared" si="173"/>
        <v>120</v>
      </c>
      <c r="CW51" s="16"/>
      <c r="CX51" s="15">
        <v>47</v>
      </c>
      <c r="CY51" s="15">
        <f t="shared" si="174"/>
        <v>0</v>
      </c>
      <c r="CZ51" s="15">
        <f t="shared" si="175"/>
        <v>282</v>
      </c>
      <c r="DA51" s="16"/>
      <c r="DB51" s="15">
        <v>40</v>
      </c>
      <c r="DC51" s="15">
        <f t="shared" si="176"/>
        <v>0</v>
      </c>
      <c r="DD51" s="15">
        <f t="shared" si="177"/>
        <v>240</v>
      </c>
      <c r="DE51" s="16"/>
      <c r="DF51" s="15">
        <v>38</v>
      </c>
      <c r="DG51" s="15">
        <f t="shared" si="178"/>
        <v>0</v>
      </c>
      <c r="DH51" s="15">
        <f t="shared" si="179"/>
        <v>228</v>
      </c>
      <c r="DI51" s="16"/>
      <c r="DJ51" s="15"/>
      <c r="DK51" s="15">
        <f t="shared" si="180"/>
        <v>0</v>
      </c>
      <c r="DL51" s="15">
        <f t="shared" si="181"/>
        <v>0</v>
      </c>
      <c r="DM51" s="16"/>
      <c r="DN51" s="15"/>
      <c r="DO51" s="15">
        <f t="shared" si="182"/>
        <v>0</v>
      </c>
      <c r="DP51" s="15">
        <f t="shared" si="183"/>
        <v>0</v>
      </c>
      <c r="DQ51" s="16"/>
      <c r="DR51" s="15"/>
      <c r="DS51" s="15">
        <f t="shared" si="184"/>
        <v>0</v>
      </c>
      <c r="DT51" s="15">
        <f t="shared" si="185"/>
        <v>0</v>
      </c>
      <c r="DU51" s="16"/>
      <c r="DV51" s="15"/>
      <c r="DW51" s="15"/>
      <c r="DX51" s="15">
        <f t="shared" si="186"/>
        <v>0</v>
      </c>
      <c r="DZ51" s="15">
        <f t="shared" si="187"/>
        <v>61</v>
      </c>
      <c r="EA51" s="15">
        <f t="shared" si="188"/>
        <v>27</v>
      </c>
    </row>
    <row r="52" spans="1:131" s="14" customFormat="1" x14ac:dyDescent="0.2">
      <c r="A52" s="15">
        <v>10</v>
      </c>
      <c r="B52" s="14" t="s">
        <v>74</v>
      </c>
      <c r="C52" s="15">
        <v>0</v>
      </c>
      <c r="D52" s="15">
        <v>1</v>
      </c>
      <c r="E52" s="16"/>
      <c r="F52" s="15">
        <v>38</v>
      </c>
      <c r="G52" s="15">
        <f t="shared" si="126"/>
        <v>0</v>
      </c>
      <c r="H52" s="15">
        <f t="shared" si="127"/>
        <v>228</v>
      </c>
      <c r="I52" s="16"/>
      <c r="J52" s="15">
        <v>31</v>
      </c>
      <c r="K52" s="15">
        <f t="shared" si="128"/>
        <v>0</v>
      </c>
      <c r="L52" s="15">
        <f t="shared" si="129"/>
        <v>186</v>
      </c>
      <c r="M52" s="16"/>
      <c r="N52" s="15">
        <v>26</v>
      </c>
      <c r="O52" s="15">
        <f t="shared" si="130"/>
        <v>0</v>
      </c>
      <c r="P52" s="15">
        <f t="shared" si="131"/>
        <v>156</v>
      </c>
      <c r="Q52" s="16"/>
      <c r="R52" s="15">
        <v>32</v>
      </c>
      <c r="S52" s="15">
        <f t="shared" si="132"/>
        <v>0</v>
      </c>
      <c r="T52" s="15">
        <f t="shared" si="133"/>
        <v>192</v>
      </c>
      <c r="U52" s="16"/>
      <c r="V52" s="15">
        <v>37</v>
      </c>
      <c r="W52" s="15">
        <f t="shared" si="134"/>
        <v>0</v>
      </c>
      <c r="X52" s="15">
        <f t="shared" si="135"/>
        <v>222</v>
      </c>
      <c r="Y52" s="16"/>
      <c r="Z52" s="15">
        <v>49</v>
      </c>
      <c r="AA52" s="15">
        <f t="shared" si="136"/>
        <v>0</v>
      </c>
      <c r="AB52" s="15">
        <f t="shared" si="137"/>
        <v>294</v>
      </c>
      <c r="AC52" s="16"/>
      <c r="AD52" s="15">
        <v>16</v>
      </c>
      <c r="AE52" s="15">
        <f t="shared" si="138"/>
        <v>0</v>
      </c>
      <c r="AF52" s="15">
        <f t="shared" si="139"/>
        <v>96</v>
      </c>
      <c r="AG52" s="16"/>
      <c r="AH52" s="15">
        <v>22</v>
      </c>
      <c r="AI52" s="15">
        <f t="shared" si="140"/>
        <v>0</v>
      </c>
      <c r="AJ52" s="15">
        <f t="shared" si="141"/>
        <v>132</v>
      </c>
      <c r="AK52" s="16"/>
      <c r="AL52" s="15">
        <v>28</v>
      </c>
      <c r="AM52" s="15">
        <f t="shared" si="142"/>
        <v>0</v>
      </c>
      <c r="AN52" s="15">
        <f t="shared" si="143"/>
        <v>168</v>
      </c>
      <c r="AO52" s="16"/>
      <c r="AP52" s="15">
        <v>28</v>
      </c>
      <c r="AQ52" s="15">
        <f t="shared" si="144"/>
        <v>0</v>
      </c>
      <c r="AR52" s="15">
        <f t="shared" si="145"/>
        <v>168</v>
      </c>
      <c r="AS52" s="16"/>
      <c r="AT52" s="15">
        <v>22</v>
      </c>
      <c r="AU52" s="15">
        <f t="shared" si="146"/>
        <v>0</v>
      </c>
      <c r="AV52" s="15">
        <f t="shared" si="147"/>
        <v>132</v>
      </c>
      <c r="AW52" s="16"/>
      <c r="AX52" s="15">
        <v>22</v>
      </c>
      <c r="AY52" s="15">
        <f t="shared" si="148"/>
        <v>0</v>
      </c>
      <c r="AZ52" s="15">
        <f t="shared" si="149"/>
        <v>132</v>
      </c>
      <c r="BA52" s="16"/>
      <c r="BB52" s="15">
        <v>36</v>
      </c>
      <c r="BC52" s="15">
        <f t="shared" si="150"/>
        <v>0</v>
      </c>
      <c r="BD52" s="15">
        <f t="shared" si="151"/>
        <v>216</v>
      </c>
      <c r="BE52" s="16"/>
      <c r="BF52" s="15">
        <v>23</v>
      </c>
      <c r="BG52" s="15">
        <f t="shared" si="152"/>
        <v>0</v>
      </c>
      <c r="BH52" s="15">
        <f t="shared" si="153"/>
        <v>138</v>
      </c>
      <c r="BI52" s="16"/>
      <c r="BJ52" s="15">
        <v>26</v>
      </c>
      <c r="BK52" s="15">
        <f t="shared" si="154"/>
        <v>0</v>
      </c>
      <c r="BL52" s="15">
        <f t="shared" si="155"/>
        <v>156</v>
      </c>
      <c r="BM52" s="16"/>
      <c r="BN52" s="15">
        <v>27</v>
      </c>
      <c r="BO52" s="15">
        <f t="shared" si="156"/>
        <v>0</v>
      </c>
      <c r="BP52" s="15">
        <f t="shared" si="157"/>
        <v>162</v>
      </c>
      <c r="BQ52" s="16"/>
      <c r="BR52" s="15">
        <v>32</v>
      </c>
      <c r="BS52" s="15">
        <f t="shared" si="158"/>
        <v>0</v>
      </c>
      <c r="BT52" s="15">
        <f t="shared" si="159"/>
        <v>192</v>
      </c>
      <c r="BU52" s="16"/>
      <c r="BV52" s="15">
        <v>23</v>
      </c>
      <c r="BW52" s="15">
        <f t="shared" si="160"/>
        <v>0</v>
      </c>
      <c r="BX52" s="15">
        <f t="shared" si="161"/>
        <v>138</v>
      </c>
      <c r="BY52" s="16"/>
      <c r="BZ52" s="15">
        <v>39</v>
      </c>
      <c r="CA52" s="15">
        <f t="shared" si="162"/>
        <v>0</v>
      </c>
      <c r="CB52" s="15">
        <f t="shared" si="163"/>
        <v>234</v>
      </c>
      <c r="CC52" s="16"/>
      <c r="CD52" s="15">
        <v>40</v>
      </c>
      <c r="CE52" s="15">
        <f t="shared" si="164"/>
        <v>0</v>
      </c>
      <c r="CF52" s="15">
        <f t="shared" si="165"/>
        <v>240</v>
      </c>
      <c r="CG52" s="16"/>
      <c r="CH52" s="15">
        <v>28</v>
      </c>
      <c r="CI52" s="15">
        <f t="shared" si="166"/>
        <v>0</v>
      </c>
      <c r="CJ52" s="15">
        <f t="shared" si="167"/>
        <v>168</v>
      </c>
      <c r="CK52" s="16"/>
      <c r="CL52" s="15">
        <v>36</v>
      </c>
      <c r="CM52" s="15">
        <f t="shared" si="168"/>
        <v>0</v>
      </c>
      <c r="CN52" s="15">
        <f t="shared" si="169"/>
        <v>216</v>
      </c>
      <c r="CO52" s="16"/>
      <c r="CP52" s="15">
        <v>25</v>
      </c>
      <c r="CQ52" s="15">
        <f t="shared" si="170"/>
        <v>0</v>
      </c>
      <c r="CR52" s="15">
        <f t="shared" si="171"/>
        <v>150</v>
      </c>
      <c r="CS52" s="16"/>
      <c r="CT52" s="15">
        <v>45</v>
      </c>
      <c r="CU52" s="15">
        <f t="shared" si="172"/>
        <v>0</v>
      </c>
      <c r="CV52" s="15">
        <f t="shared" si="173"/>
        <v>270</v>
      </c>
      <c r="CW52" s="16"/>
      <c r="CX52" s="15">
        <v>35</v>
      </c>
      <c r="CY52" s="15">
        <f t="shared" si="174"/>
        <v>0</v>
      </c>
      <c r="CZ52" s="15">
        <f t="shared" si="175"/>
        <v>210</v>
      </c>
      <c r="DA52" s="16"/>
      <c r="DB52" s="15">
        <v>13</v>
      </c>
      <c r="DC52" s="15">
        <f t="shared" si="176"/>
        <v>0</v>
      </c>
      <c r="DD52" s="15">
        <f t="shared" si="177"/>
        <v>78</v>
      </c>
      <c r="DE52" s="16"/>
      <c r="DF52" s="15">
        <v>27</v>
      </c>
      <c r="DG52" s="15">
        <f t="shared" si="178"/>
        <v>0</v>
      </c>
      <c r="DH52" s="15">
        <f t="shared" si="179"/>
        <v>162</v>
      </c>
      <c r="DI52" s="16"/>
      <c r="DJ52" s="15"/>
      <c r="DK52" s="15">
        <f t="shared" si="180"/>
        <v>0</v>
      </c>
      <c r="DL52" s="15">
        <f t="shared" si="181"/>
        <v>0</v>
      </c>
      <c r="DM52" s="16"/>
      <c r="DN52" s="15"/>
      <c r="DO52" s="15">
        <f t="shared" si="182"/>
        <v>0</v>
      </c>
      <c r="DP52" s="15">
        <f t="shared" si="183"/>
        <v>0</v>
      </c>
      <c r="DQ52" s="16"/>
      <c r="DR52" s="15"/>
      <c r="DS52" s="15">
        <f t="shared" si="184"/>
        <v>0</v>
      </c>
      <c r="DT52" s="15">
        <f t="shared" si="185"/>
        <v>0</v>
      </c>
      <c r="DU52" s="16"/>
      <c r="DV52" s="15"/>
      <c r="DW52" s="15"/>
      <c r="DX52" s="15">
        <f t="shared" si="186"/>
        <v>0</v>
      </c>
      <c r="DZ52" s="15">
        <f t="shared" si="187"/>
        <v>49</v>
      </c>
      <c r="EA52" s="15">
        <f t="shared" si="188"/>
        <v>16</v>
      </c>
    </row>
    <row r="53" spans="1:131" s="14" customFormat="1" x14ac:dyDescent="0.2">
      <c r="A53" s="15">
        <v>2</v>
      </c>
      <c r="B53" s="14" t="s">
        <v>75</v>
      </c>
      <c r="C53" s="15">
        <v>0</v>
      </c>
      <c r="D53" s="15">
        <v>1</v>
      </c>
      <c r="E53" s="16"/>
      <c r="F53" s="15">
        <v>61</v>
      </c>
      <c r="G53" s="15">
        <f t="shared" si="126"/>
        <v>0</v>
      </c>
      <c r="H53" s="15">
        <f t="shared" si="127"/>
        <v>366</v>
      </c>
      <c r="I53" s="16"/>
      <c r="J53" s="15">
        <v>57</v>
      </c>
      <c r="K53" s="15">
        <f t="shared" si="128"/>
        <v>0</v>
      </c>
      <c r="L53" s="15">
        <f t="shared" si="129"/>
        <v>342</v>
      </c>
      <c r="M53" s="16"/>
      <c r="N53" s="15">
        <v>58</v>
      </c>
      <c r="O53" s="15">
        <f t="shared" si="130"/>
        <v>0</v>
      </c>
      <c r="P53" s="15">
        <f t="shared" si="131"/>
        <v>348</v>
      </c>
      <c r="Q53" s="16"/>
      <c r="R53" s="15">
        <v>54</v>
      </c>
      <c r="S53" s="15">
        <f t="shared" si="132"/>
        <v>0</v>
      </c>
      <c r="T53" s="15">
        <f t="shared" si="133"/>
        <v>324</v>
      </c>
      <c r="U53" s="16"/>
      <c r="V53" s="15">
        <v>57</v>
      </c>
      <c r="W53" s="15">
        <f t="shared" si="134"/>
        <v>0</v>
      </c>
      <c r="X53" s="15">
        <f t="shared" si="135"/>
        <v>342</v>
      </c>
      <c r="Y53" s="16"/>
      <c r="Z53" s="15">
        <v>54</v>
      </c>
      <c r="AA53" s="15">
        <f t="shared" si="136"/>
        <v>0</v>
      </c>
      <c r="AB53" s="15">
        <f t="shared" si="137"/>
        <v>324</v>
      </c>
      <c r="AC53" s="16"/>
      <c r="AD53" s="15">
        <v>51</v>
      </c>
      <c r="AE53" s="15">
        <f t="shared" si="138"/>
        <v>0</v>
      </c>
      <c r="AF53" s="15">
        <f t="shared" si="139"/>
        <v>306</v>
      </c>
      <c r="AG53" s="16"/>
      <c r="AH53" s="15">
        <v>56</v>
      </c>
      <c r="AI53" s="15">
        <f t="shared" si="140"/>
        <v>0</v>
      </c>
      <c r="AJ53" s="15">
        <f t="shared" si="141"/>
        <v>336</v>
      </c>
      <c r="AK53" s="16"/>
      <c r="AL53" s="15">
        <v>59</v>
      </c>
      <c r="AM53" s="15">
        <f t="shared" si="142"/>
        <v>0</v>
      </c>
      <c r="AN53" s="15">
        <f t="shared" si="143"/>
        <v>354</v>
      </c>
      <c r="AO53" s="16"/>
      <c r="AP53" s="15">
        <v>57</v>
      </c>
      <c r="AQ53" s="15">
        <f t="shared" si="144"/>
        <v>0</v>
      </c>
      <c r="AR53" s="15">
        <f t="shared" si="145"/>
        <v>342</v>
      </c>
      <c r="AS53" s="16"/>
      <c r="AT53" s="15">
        <v>59</v>
      </c>
      <c r="AU53" s="15">
        <f t="shared" si="146"/>
        <v>0</v>
      </c>
      <c r="AV53" s="15">
        <f t="shared" si="147"/>
        <v>354</v>
      </c>
      <c r="AW53" s="16"/>
      <c r="AX53" s="15">
        <v>57</v>
      </c>
      <c r="AY53" s="15">
        <f t="shared" si="148"/>
        <v>0</v>
      </c>
      <c r="AZ53" s="15">
        <f t="shared" si="149"/>
        <v>342</v>
      </c>
      <c r="BA53" s="16"/>
      <c r="BB53" s="15">
        <v>56</v>
      </c>
      <c r="BC53" s="15">
        <f t="shared" si="150"/>
        <v>0</v>
      </c>
      <c r="BD53" s="15">
        <f t="shared" si="151"/>
        <v>336</v>
      </c>
      <c r="BE53" s="16"/>
      <c r="BF53" s="15">
        <v>56</v>
      </c>
      <c r="BG53" s="15">
        <f t="shared" si="152"/>
        <v>0</v>
      </c>
      <c r="BH53" s="15">
        <f t="shared" si="153"/>
        <v>336</v>
      </c>
      <c r="BI53" s="16"/>
      <c r="BJ53" s="15">
        <v>56</v>
      </c>
      <c r="BK53" s="15">
        <f t="shared" si="154"/>
        <v>0</v>
      </c>
      <c r="BL53" s="15">
        <f t="shared" si="155"/>
        <v>336</v>
      </c>
      <c r="BM53" s="16"/>
      <c r="BN53" s="15">
        <v>55</v>
      </c>
      <c r="BO53" s="15">
        <f t="shared" si="156"/>
        <v>0</v>
      </c>
      <c r="BP53" s="15">
        <f t="shared" si="157"/>
        <v>330</v>
      </c>
      <c r="BQ53" s="16"/>
      <c r="BR53" s="15">
        <v>51</v>
      </c>
      <c r="BS53" s="15">
        <f t="shared" si="158"/>
        <v>0</v>
      </c>
      <c r="BT53" s="15">
        <f t="shared" si="159"/>
        <v>306</v>
      </c>
      <c r="BU53" s="16"/>
      <c r="BV53" s="15">
        <v>58</v>
      </c>
      <c r="BW53" s="15">
        <f t="shared" si="160"/>
        <v>0</v>
      </c>
      <c r="BX53" s="15">
        <f t="shared" si="161"/>
        <v>348</v>
      </c>
      <c r="BY53" s="16"/>
      <c r="BZ53" s="15">
        <v>57</v>
      </c>
      <c r="CA53" s="15">
        <f t="shared" si="162"/>
        <v>0</v>
      </c>
      <c r="CB53" s="15">
        <f t="shared" si="163"/>
        <v>342</v>
      </c>
      <c r="CC53" s="16"/>
      <c r="CD53" s="15">
        <v>58</v>
      </c>
      <c r="CE53" s="15">
        <f t="shared" si="164"/>
        <v>0</v>
      </c>
      <c r="CF53" s="15">
        <f t="shared" si="165"/>
        <v>348</v>
      </c>
      <c r="CG53" s="16"/>
      <c r="CH53" s="15">
        <v>59</v>
      </c>
      <c r="CI53" s="15">
        <f t="shared" si="166"/>
        <v>0</v>
      </c>
      <c r="CJ53" s="15">
        <f t="shared" si="167"/>
        <v>354</v>
      </c>
      <c r="CK53" s="16"/>
      <c r="CL53" s="15">
        <v>60</v>
      </c>
      <c r="CM53" s="15">
        <f t="shared" si="168"/>
        <v>0</v>
      </c>
      <c r="CN53" s="15">
        <f t="shared" si="169"/>
        <v>360</v>
      </c>
      <c r="CO53" s="16"/>
      <c r="CP53" s="15">
        <v>57</v>
      </c>
      <c r="CQ53" s="15">
        <f t="shared" si="170"/>
        <v>0</v>
      </c>
      <c r="CR53" s="15">
        <f t="shared" si="171"/>
        <v>342</v>
      </c>
      <c r="CS53" s="16"/>
      <c r="CT53" s="15">
        <v>58</v>
      </c>
      <c r="CU53" s="15">
        <f t="shared" si="172"/>
        <v>0</v>
      </c>
      <c r="CV53" s="15">
        <f t="shared" si="173"/>
        <v>348</v>
      </c>
      <c r="CW53" s="16"/>
      <c r="CX53" s="15">
        <v>59</v>
      </c>
      <c r="CY53" s="15">
        <f t="shared" si="174"/>
        <v>0</v>
      </c>
      <c r="CZ53" s="15">
        <f t="shared" si="175"/>
        <v>354</v>
      </c>
      <c r="DA53" s="16"/>
      <c r="DB53" s="15">
        <v>60</v>
      </c>
      <c r="DC53" s="15">
        <f t="shared" si="176"/>
        <v>0</v>
      </c>
      <c r="DD53" s="15">
        <f t="shared" si="177"/>
        <v>360</v>
      </c>
      <c r="DE53" s="16"/>
      <c r="DF53" s="15">
        <v>58</v>
      </c>
      <c r="DG53" s="15">
        <f t="shared" si="178"/>
        <v>0</v>
      </c>
      <c r="DH53" s="15">
        <f t="shared" si="179"/>
        <v>348</v>
      </c>
      <c r="DI53" s="16"/>
      <c r="DJ53" s="15"/>
      <c r="DK53" s="15">
        <f t="shared" si="180"/>
        <v>0</v>
      </c>
      <c r="DL53" s="15">
        <f t="shared" si="181"/>
        <v>0</v>
      </c>
      <c r="DM53" s="16"/>
      <c r="DN53" s="15"/>
      <c r="DO53" s="15">
        <f t="shared" si="182"/>
        <v>0</v>
      </c>
      <c r="DP53" s="15">
        <f t="shared" si="183"/>
        <v>0</v>
      </c>
      <c r="DQ53" s="16"/>
      <c r="DR53" s="15"/>
      <c r="DS53" s="15">
        <f t="shared" si="184"/>
        <v>0</v>
      </c>
      <c r="DT53" s="15">
        <f t="shared" si="185"/>
        <v>0</v>
      </c>
      <c r="DU53" s="16"/>
      <c r="DV53" s="15"/>
      <c r="DW53" s="15"/>
      <c r="DX53" s="15">
        <f t="shared" si="186"/>
        <v>0</v>
      </c>
      <c r="DZ53" s="15">
        <f t="shared" si="187"/>
        <v>61</v>
      </c>
      <c r="EA53" s="15">
        <f t="shared" si="188"/>
        <v>51</v>
      </c>
    </row>
    <row r="54" spans="1:131" s="14" customFormat="1" x14ac:dyDescent="0.2">
      <c r="A54" s="15">
        <v>15</v>
      </c>
      <c r="B54" s="14" t="s">
        <v>76</v>
      </c>
      <c r="C54" s="15">
        <v>0</v>
      </c>
      <c r="D54" s="15">
        <v>1</v>
      </c>
      <c r="E54" s="16"/>
      <c r="F54" s="15">
        <v>5</v>
      </c>
      <c r="G54" s="15">
        <f t="shared" si="126"/>
        <v>0</v>
      </c>
      <c r="H54" s="15">
        <f t="shared" si="127"/>
        <v>30</v>
      </c>
      <c r="I54" s="16"/>
      <c r="J54" s="15">
        <v>7</v>
      </c>
      <c r="K54" s="15">
        <f t="shared" si="128"/>
        <v>0</v>
      </c>
      <c r="L54" s="15">
        <f t="shared" si="129"/>
        <v>42</v>
      </c>
      <c r="M54" s="16"/>
      <c r="N54" s="15">
        <v>6</v>
      </c>
      <c r="O54" s="15">
        <f t="shared" si="130"/>
        <v>0</v>
      </c>
      <c r="P54" s="15">
        <f t="shared" si="131"/>
        <v>36</v>
      </c>
      <c r="Q54" s="16"/>
      <c r="R54" s="15">
        <v>8</v>
      </c>
      <c r="S54" s="15">
        <f t="shared" si="132"/>
        <v>0</v>
      </c>
      <c r="T54" s="15">
        <f t="shared" si="133"/>
        <v>48</v>
      </c>
      <c r="U54" s="16"/>
      <c r="V54" s="15">
        <v>7</v>
      </c>
      <c r="W54" s="15">
        <f t="shared" si="134"/>
        <v>0</v>
      </c>
      <c r="X54" s="15">
        <f t="shared" si="135"/>
        <v>42</v>
      </c>
      <c r="Y54" s="16"/>
      <c r="Z54" s="15">
        <v>24</v>
      </c>
      <c r="AA54" s="15">
        <f t="shared" si="136"/>
        <v>0</v>
      </c>
      <c r="AB54" s="15">
        <f t="shared" si="137"/>
        <v>144</v>
      </c>
      <c r="AC54" s="16"/>
      <c r="AD54" s="15">
        <v>6</v>
      </c>
      <c r="AE54" s="15">
        <f t="shared" si="138"/>
        <v>0</v>
      </c>
      <c r="AF54" s="15">
        <f t="shared" si="139"/>
        <v>36</v>
      </c>
      <c r="AG54" s="16"/>
      <c r="AH54" s="15">
        <v>8</v>
      </c>
      <c r="AI54" s="15">
        <f t="shared" si="140"/>
        <v>0</v>
      </c>
      <c r="AJ54" s="15">
        <f t="shared" si="141"/>
        <v>48</v>
      </c>
      <c r="AK54" s="16"/>
      <c r="AL54" s="15">
        <v>6</v>
      </c>
      <c r="AM54" s="15">
        <f t="shared" si="142"/>
        <v>0</v>
      </c>
      <c r="AN54" s="15">
        <f t="shared" si="143"/>
        <v>36</v>
      </c>
      <c r="AO54" s="16"/>
      <c r="AP54" s="15">
        <v>6</v>
      </c>
      <c r="AQ54" s="15">
        <f t="shared" si="144"/>
        <v>0</v>
      </c>
      <c r="AR54" s="15">
        <f t="shared" si="145"/>
        <v>36</v>
      </c>
      <c r="AS54" s="16"/>
      <c r="AT54" s="15">
        <v>6</v>
      </c>
      <c r="AU54" s="15">
        <f t="shared" si="146"/>
        <v>0</v>
      </c>
      <c r="AV54" s="15">
        <f t="shared" si="147"/>
        <v>36</v>
      </c>
      <c r="AW54" s="16"/>
      <c r="AX54" s="15">
        <v>8</v>
      </c>
      <c r="AY54" s="15">
        <f t="shared" si="148"/>
        <v>0</v>
      </c>
      <c r="AZ54" s="15">
        <f t="shared" si="149"/>
        <v>48</v>
      </c>
      <c r="BA54" s="16"/>
      <c r="BB54" s="15">
        <v>6</v>
      </c>
      <c r="BC54" s="15">
        <f t="shared" si="150"/>
        <v>0</v>
      </c>
      <c r="BD54" s="15">
        <f t="shared" si="151"/>
        <v>36</v>
      </c>
      <c r="BE54" s="16"/>
      <c r="BF54" s="15">
        <v>6</v>
      </c>
      <c r="BG54" s="15">
        <f t="shared" si="152"/>
        <v>0</v>
      </c>
      <c r="BH54" s="15">
        <f t="shared" si="153"/>
        <v>36</v>
      </c>
      <c r="BI54" s="16"/>
      <c r="BJ54" s="15">
        <v>5</v>
      </c>
      <c r="BK54" s="15">
        <f t="shared" si="154"/>
        <v>0</v>
      </c>
      <c r="BL54" s="15">
        <f t="shared" si="155"/>
        <v>30</v>
      </c>
      <c r="BM54" s="16"/>
      <c r="BN54" s="15">
        <v>5</v>
      </c>
      <c r="BO54" s="15">
        <f t="shared" si="156"/>
        <v>0</v>
      </c>
      <c r="BP54" s="15">
        <f t="shared" si="157"/>
        <v>30</v>
      </c>
      <c r="BQ54" s="16"/>
      <c r="BR54" s="15">
        <v>7</v>
      </c>
      <c r="BS54" s="15">
        <f t="shared" si="158"/>
        <v>0</v>
      </c>
      <c r="BT54" s="15">
        <f t="shared" si="159"/>
        <v>42</v>
      </c>
      <c r="BU54" s="16"/>
      <c r="BV54" s="15">
        <v>24</v>
      </c>
      <c r="BW54" s="15">
        <f t="shared" si="160"/>
        <v>0</v>
      </c>
      <c r="BX54" s="15">
        <f t="shared" si="161"/>
        <v>144</v>
      </c>
      <c r="BY54" s="16"/>
      <c r="BZ54" s="15">
        <v>8</v>
      </c>
      <c r="CA54" s="15">
        <f t="shared" si="162"/>
        <v>0</v>
      </c>
      <c r="CB54" s="15">
        <f t="shared" si="163"/>
        <v>48</v>
      </c>
      <c r="CC54" s="16"/>
      <c r="CD54" s="15">
        <v>7</v>
      </c>
      <c r="CE54" s="15">
        <f t="shared" si="164"/>
        <v>0</v>
      </c>
      <c r="CF54" s="15">
        <f t="shared" si="165"/>
        <v>42</v>
      </c>
      <c r="CG54" s="16"/>
      <c r="CH54" s="15">
        <v>18</v>
      </c>
      <c r="CI54" s="15">
        <f t="shared" si="166"/>
        <v>0</v>
      </c>
      <c r="CJ54" s="15">
        <f t="shared" si="167"/>
        <v>108</v>
      </c>
      <c r="CK54" s="16"/>
      <c r="CL54" s="15">
        <v>14</v>
      </c>
      <c r="CM54" s="15">
        <f t="shared" si="168"/>
        <v>0</v>
      </c>
      <c r="CN54" s="15">
        <f t="shared" si="169"/>
        <v>84</v>
      </c>
      <c r="CO54" s="16"/>
      <c r="CP54" s="15">
        <v>4</v>
      </c>
      <c r="CQ54" s="15">
        <f t="shared" si="170"/>
        <v>0</v>
      </c>
      <c r="CR54" s="15">
        <f t="shared" si="171"/>
        <v>24</v>
      </c>
      <c r="CS54" s="16"/>
      <c r="CT54" s="15">
        <v>7</v>
      </c>
      <c r="CU54" s="15">
        <f t="shared" si="172"/>
        <v>0</v>
      </c>
      <c r="CV54" s="15">
        <f t="shared" si="173"/>
        <v>42</v>
      </c>
      <c r="CW54" s="16"/>
      <c r="CX54" s="15">
        <v>7</v>
      </c>
      <c r="CY54" s="15">
        <f t="shared" si="174"/>
        <v>0</v>
      </c>
      <c r="CZ54" s="15">
        <f t="shared" si="175"/>
        <v>42</v>
      </c>
      <c r="DA54" s="16"/>
      <c r="DB54" s="15">
        <v>6</v>
      </c>
      <c r="DC54" s="15">
        <f t="shared" si="176"/>
        <v>0</v>
      </c>
      <c r="DD54" s="15">
        <f t="shared" si="177"/>
        <v>36</v>
      </c>
      <c r="DE54" s="16"/>
      <c r="DF54" s="15">
        <v>7</v>
      </c>
      <c r="DG54" s="15">
        <f t="shared" si="178"/>
        <v>0</v>
      </c>
      <c r="DH54" s="15">
        <f t="shared" si="179"/>
        <v>42</v>
      </c>
      <c r="DI54" s="16"/>
      <c r="DJ54" s="15"/>
      <c r="DK54" s="15">
        <f t="shared" si="180"/>
        <v>0</v>
      </c>
      <c r="DL54" s="15">
        <f t="shared" si="181"/>
        <v>0</v>
      </c>
      <c r="DM54" s="16"/>
      <c r="DN54" s="15"/>
      <c r="DO54" s="15">
        <f t="shared" si="182"/>
        <v>0</v>
      </c>
      <c r="DP54" s="15">
        <f t="shared" si="183"/>
        <v>0</v>
      </c>
      <c r="DQ54" s="16"/>
      <c r="DR54" s="15"/>
      <c r="DS54" s="15">
        <f t="shared" si="184"/>
        <v>0</v>
      </c>
      <c r="DT54" s="15">
        <f t="shared" si="185"/>
        <v>0</v>
      </c>
      <c r="DU54" s="16"/>
      <c r="DV54" s="15"/>
      <c r="DW54" s="15"/>
      <c r="DX54" s="15">
        <f t="shared" si="186"/>
        <v>0</v>
      </c>
      <c r="DZ54" s="15">
        <f t="shared" si="187"/>
        <v>24</v>
      </c>
      <c r="EA54" s="15">
        <f t="shared" si="188"/>
        <v>4</v>
      </c>
    </row>
    <row r="55" spans="1:131" s="10" customFormat="1" x14ac:dyDescent="0.2">
      <c r="A55" s="9"/>
      <c r="B55" s="10" t="s">
        <v>77</v>
      </c>
      <c r="C55" s="9"/>
      <c r="D55" s="9"/>
      <c r="E55" s="12"/>
      <c r="F55" s="9">
        <f>SUM(F39:F54)</f>
        <v>520</v>
      </c>
      <c r="G55" s="9">
        <f>SUM(G39:G54)</f>
        <v>0</v>
      </c>
      <c r="H55" s="9">
        <f>SUM(H39:H54)</f>
        <v>3120</v>
      </c>
      <c r="I55" s="12"/>
      <c r="J55" s="9">
        <f>SUM(J39:J54)</f>
        <v>515</v>
      </c>
      <c r="K55" s="9">
        <f>SUM(K39:K54)</f>
        <v>0</v>
      </c>
      <c r="L55" s="9">
        <f>SUM(L39:L54)</f>
        <v>3090</v>
      </c>
      <c r="M55" s="12"/>
      <c r="N55" s="9">
        <f>SUM(N39:N54)</f>
        <v>507</v>
      </c>
      <c r="O55" s="9">
        <f>SUM(O39:O54)</f>
        <v>0</v>
      </c>
      <c r="P55" s="9">
        <f>SUM(P39:P54)</f>
        <v>3042</v>
      </c>
      <c r="Q55" s="12"/>
      <c r="R55" s="9">
        <f>SUM(R39:R54)</f>
        <v>513</v>
      </c>
      <c r="S55" s="9">
        <f>SUM(S39:S54)</f>
        <v>0</v>
      </c>
      <c r="T55" s="9">
        <f>SUM(T39:T54)</f>
        <v>3078</v>
      </c>
      <c r="U55" s="12"/>
      <c r="V55" s="9">
        <f>SUM(V39:V54)</f>
        <v>511</v>
      </c>
      <c r="W55" s="9">
        <f>SUM(W39:W54)</f>
        <v>0</v>
      </c>
      <c r="X55" s="9">
        <f>SUM(X39:X54)</f>
        <v>3066</v>
      </c>
      <c r="Y55" s="12"/>
      <c r="Z55" s="9">
        <f>SUM(Z39:Z54)</f>
        <v>613</v>
      </c>
      <c r="AA55" s="9">
        <f>SUM(AA39:AA54)</f>
        <v>0</v>
      </c>
      <c r="AB55" s="9">
        <f>SUM(AB39:AB54)</f>
        <v>3678</v>
      </c>
      <c r="AC55" s="12"/>
      <c r="AD55" s="9">
        <f>SUM(AD39:AD54)</f>
        <v>540</v>
      </c>
      <c r="AE55" s="9">
        <f>SUM(AE39:AE54)</f>
        <v>0</v>
      </c>
      <c r="AF55" s="9">
        <f>SUM(AF39:AF54)</f>
        <v>3240</v>
      </c>
      <c r="AG55" s="12"/>
      <c r="AH55" s="9">
        <f>SUM(AH39:AH54)</f>
        <v>506</v>
      </c>
      <c r="AI55" s="9">
        <f>SUM(AI39:AI54)</f>
        <v>0</v>
      </c>
      <c r="AJ55" s="9">
        <f>SUM(AJ39:AJ54)</f>
        <v>3036</v>
      </c>
      <c r="AK55" s="12"/>
      <c r="AL55" s="9">
        <f>SUM(AL39:AL54)</f>
        <v>526</v>
      </c>
      <c r="AM55" s="9">
        <f>SUM(AM39:AM54)</f>
        <v>0</v>
      </c>
      <c r="AN55" s="9">
        <f>SUM(AN39:AN54)</f>
        <v>3156</v>
      </c>
      <c r="AO55" s="12"/>
      <c r="AP55" s="9">
        <f>SUM(AP39:AP54)</f>
        <v>521</v>
      </c>
      <c r="AQ55" s="9">
        <f>SUM(AQ39:AQ54)</f>
        <v>0</v>
      </c>
      <c r="AR55" s="9">
        <f>SUM(AR39:AR54)</f>
        <v>3126</v>
      </c>
      <c r="AS55" s="12"/>
      <c r="AT55" s="9">
        <f>SUM(AT39:AT54)</f>
        <v>542</v>
      </c>
      <c r="AU55" s="9">
        <f>SUM(AU39:AU54)</f>
        <v>0</v>
      </c>
      <c r="AV55" s="9">
        <f>SUM(AV39:AV54)</f>
        <v>3252</v>
      </c>
      <c r="AW55" s="12"/>
      <c r="AX55" s="9">
        <f>SUM(AX39:AX54)</f>
        <v>516</v>
      </c>
      <c r="AY55" s="9">
        <f>SUM(AY39:AY54)</f>
        <v>0</v>
      </c>
      <c r="AZ55" s="9">
        <f>SUM(AZ39:AZ54)</f>
        <v>3096</v>
      </c>
      <c r="BA55" s="12"/>
      <c r="BB55" s="9">
        <f>SUM(BB39:BB54)</f>
        <v>521</v>
      </c>
      <c r="BC55" s="9">
        <f>SUM(BC39:BC54)</f>
        <v>0</v>
      </c>
      <c r="BD55" s="9">
        <f>SUM(BD39:BD54)</f>
        <v>3126</v>
      </c>
      <c r="BE55" s="12"/>
      <c r="BF55" s="9">
        <f>SUM(BF39:BF54)</f>
        <v>518</v>
      </c>
      <c r="BG55" s="9">
        <f>SUM(BG39:BG54)</f>
        <v>0</v>
      </c>
      <c r="BH55" s="9">
        <f>SUM(BH39:BH54)</f>
        <v>3108</v>
      </c>
      <c r="BI55" s="12"/>
      <c r="BJ55" s="9">
        <f>SUM(BJ39:BJ54)</f>
        <v>525</v>
      </c>
      <c r="BK55" s="9">
        <f>SUM(BK39:BK54)</f>
        <v>0</v>
      </c>
      <c r="BL55" s="9">
        <f>SUM(BL39:BL54)</f>
        <v>3150</v>
      </c>
      <c r="BM55" s="12"/>
      <c r="BN55" s="9">
        <f>SUM(BN39:BN54)</f>
        <v>498</v>
      </c>
      <c r="BO55" s="9">
        <f>SUM(BO39:BO54)</f>
        <v>0</v>
      </c>
      <c r="BP55" s="9">
        <f>SUM(BP39:BP54)</f>
        <v>2988</v>
      </c>
      <c r="BQ55" s="12"/>
      <c r="BR55" s="9">
        <f>SUM(BR39:BR54)</f>
        <v>535</v>
      </c>
      <c r="BS55" s="9">
        <f>SUM(BS39:BS54)</f>
        <v>0</v>
      </c>
      <c r="BT55" s="9">
        <f>SUM(BT39:BT54)</f>
        <v>3210</v>
      </c>
      <c r="BU55" s="12"/>
      <c r="BV55" s="9">
        <f>SUM(BV39:BV54)</f>
        <v>557</v>
      </c>
      <c r="BW55" s="9">
        <f>SUM(BW39:BW54)</f>
        <v>0</v>
      </c>
      <c r="BX55" s="9">
        <f>SUM(BX39:BX54)</f>
        <v>3342</v>
      </c>
      <c r="BY55" s="12"/>
      <c r="BZ55" s="9">
        <f>SUM(BZ39:BZ54)</f>
        <v>511</v>
      </c>
      <c r="CA55" s="9">
        <f>SUM(CA39:CA54)</f>
        <v>0</v>
      </c>
      <c r="CB55" s="9">
        <f>SUM(CB39:CB54)</f>
        <v>3066</v>
      </c>
      <c r="CC55" s="12"/>
      <c r="CD55" s="9">
        <f>SUM(CD39:CD54)</f>
        <v>538</v>
      </c>
      <c r="CE55" s="9">
        <f>SUM(CE39:CE54)</f>
        <v>0</v>
      </c>
      <c r="CF55" s="9">
        <f>SUM(CF39:CF54)</f>
        <v>3228</v>
      </c>
      <c r="CG55" s="12"/>
      <c r="CH55" s="9">
        <f>SUM(CH39:CH54)</f>
        <v>517</v>
      </c>
      <c r="CI55" s="9">
        <f>SUM(CI39:CI54)</f>
        <v>0</v>
      </c>
      <c r="CJ55" s="9">
        <f>SUM(CJ39:CJ54)</f>
        <v>3102</v>
      </c>
      <c r="CK55" s="12"/>
      <c r="CL55" s="9">
        <f>SUM(CL39:CL54)</f>
        <v>539</v>
      </c>
      <c r="CM55" s="9">
        <f>SUM(CM39:CM54)</f>
        <v>0</v>
      </c>
      <c r="CN55" s="9">
        <f>SUM(CN39:CN54)</f>
        <v>3234</v>
      </c>
      <c r="CO55" s="12"/>
      <c r="CP55" s="9">
        <f>SUM(CP39:CP54)</f>
        <v>541</v>
      </c>
      <c r="CQ55" s="9">
        <f>SUM(CQ39:CQ54)</f>
        <v>0</v>
      </c>
      <c r="CR55" s="9">
        <f>SUM(CR39:CR54)</f>
        <v>3246</v>
      </c>
      <c r="CS55" s="12"/>
      <c r="CT55" s="9">
        <f>SUM(CT39:CT54)</f>
        <v>520</v>
      </c>
      <c r="CU55" s="9">
        <f>SUM(CU39:CU54)</f>
        <v>0</v>
      </c>
      <c r="CV55" s="9">
        <f>SUM(CV39:CV54)</f>
        <v>3120</v>
      </c>
      <c r="CW55" s="12"/>
      <c r="CX55" s="9">
        <f>SUM(CX39:CX54)</f>
        <v>536</v>
      </c>
      <c r="CY55" s="9">
        <f>SUM(CY39:CY54)</f>
        <v>0</v>
      </c>
      <c r="CZ55" s="9">
        <f>SUM(CZ39:CZ54)</f>
        <v>3216</v>
      </c>
      <c r="DA55" s="12"/>
      <c r="DB55" s="9">
        <f>SUM(DB39:DB54)</f>
        <v>484</v>
      </c>
      <c r="DC55" s="9">
        <f>SUM(DC39:DC54)</f>
        <v>0</v>
      </c>
      <c r="DD55" s="9">
        <f>SUM(DD39:DD54)</f>
        <v>2904</v>
      </c>
      <c r="DE55" s="12"/>
      <c r="DF55" s="9">
        <f>SUM(DF39:DF54)</f>
        <v>519</v>
      </c>
      <c r="DG55" s="9">
        <f>SUM(DG39:DG54)</f>
        <v>0</v>
      </c>
      <c r="DH55" s="9">
        <f>SUM(DH39:DH54)</f>
        <v>3114</v>
      </c>
      <c r="DI55" s="12"/>
      <c r="DJ55" s="9">
        <f>SUM(DJ39:DJ54)</f>
        <v>0</v>
      </c>
      <c r="DK55" s="9">
        <f>SUM(DK39:DK54)</f>
        <v>0</v>
      </c>
      <c r="DL55" s="9">
        <f>SUM(DL39:DL54)</f>
        <v>0</v>
      </c>
      <c r="DM55" s="12"/>
      <c r="DN55" s="9">
        <f>SUM(DN39:DN54)</f>
        <v>0</v>
      </c>
      <c r="DO55" s="9">
        <f>SUM(DO39:DO54)</f>
        <v>0</v>
      </c>
      <c r="DP55" s="9">
        <f>SUM(DP39:DP54)</f>
        <v>0</v>
      </c>
      <c r="DQ55" s="12"/>
      <c r="DR55" s="9">
        <f>SUM(DR39:DR54)</f>
        <v>0</v>
      </c>
      <c r="DS55" s="9">
        <f>SUM(DS39:DS54)</f>
        <v>0</v>
      </c>
      <c r="DT55" s="9">
        <f>SUM(DT39:DT54)</f>
        <v>0</v>
      </c>
      <c r="DU55" s="12"/>
      <c r="DV55" s="9"/>
      <c r="DW55" s="9"/>
      <c r="DX55" s="9"/>
      <c r="DZ55" s="9"/>
      <c r="EA55" s="9"/>
    </row>
    <row r="56" spans="1:131" x14ac:dyDescent="0.2">
      <c r="A56" s="5"/>
      <c r="E56" s="12"/>
      <c r="I56" s="12"/>
      <c r="M56" s="12"/>
      <c r="Q56" s="12"/>
      <c r="R56" s="5"/>
      <c r="S56" s="5"/>
      <c r="T56" s="5"/>
      <c r="U56" s="12"/>
      <c r="V56" s="5"/>
      <c r="W56" s="5"/>
      <c r="X56" s="5"/>
      <c r="Y56" s="12"/>
      <c r="Z56" s="5"/>
      <c r="AA56" s="5"/>
      <c r="AB56" s="5"/>
      <c r="AC56" s="12"/>
      <c r="AD56" s="5"/>
      <c r="AE56" s="5"/>
      <c r="AF56" s="5"/>
      <c r="AG56" s="12"/>
      <c r="AH56" s="5"/>
      <c r="AI56" s="5"/>
      <c r="AJ56" s="5"/>
      <c r="AK56" s="12"/>
      <c r="AL56" s="5"/>
      <c r="AM56" s="5"/>
      <c r="AN56" s="5"/>
      <c r="AO56" s="12"/>
      <c r="AP56" s="5"/>
      <c r="AQ56" s="5"/>
      <c r="AR56" s="5"/>
      <c r="AS56" s="12"/>
      <c r="AT56" s="5"/>
      <c r="AU56" s="5"/>
      <c r="AV56" s="5"/>
      <c r="AW56" s="12"/>
      <c r="AX56" s="5"/>
      <c r="AY56" s="5"/>
      <c r="AZ56" s="5"/>
      <c r="BA56" s="12"/>
      <c r="BB56" s="5"/>
      <c r="BC56" s="5"/>
      <c r="BD56" s="5"/>
      <c r="BE56" s="12"/>
      <c r="BF56" s="5"/>
      <c r="BG56" s="5"/>
      <c r="BH56" s="5"/>
      <c r="BI56" s="12"/>
      <c r="BJ56" s="5"/>
      <c r="BK56" s="5"/>
      <c r="BL56" s="5"/>
      <c r="BM56" s="12"/>
      <c r="BN56" s="5"/>
      <c r="BO56" s="5"/>
      <c r="BP56" s="5"/>
      <c r="BQ56" s="12"/>
      <c r="BR56" s="5"/>
      <c r="BS56" s="5"/>
      <c r="BT56" s="5"/>
      <c r="BU56" s="12"/>
      <c r="BV56" s="5"/>
      <c r="BW56" s="5"/>
      <c r="BX56" s="5"/>
      <c r="BY56" s="12"/>
      <c r="BZ56" s="5"/>
      <c r="CA56" s="5"/>
      <c r="CB56" s="5"/>
      <c r="CC56" s="12"/>
      <c r="CD56" s="5"/>
      <c r="CE56" s="5"/>
      <c r="CF56" s="5"/>
      <c r="CG56" s="12"/>
      <c r="CH56" s="5"/>
      <c r="CI56" s="5"/>
      <c r="CJ56" s="5"/>
      <c r="CK56" s="12"/>
      <c r="CL56" s="5"/>
      <c r="CM56" s="5"/>
      <c r="CN56" s="5"/>
      <c r="CO56" s="12"/>
      <c r="CP56" s="5"/>
      <c r="CQ56" s="5"/>
      <c r="CR56" s="5"/>
      <c r="CS56" s="12"/>
      <c r="CT56" s="5"/>
      <c r="CU56" s="5"/>
      <c r="CV56" s="5"/>
      <c r="CW56" s="12"/>
      <c r="CX56" s="5"/>
      <c r="CY56" s="5"/>
      <c r="CZ56" s="5"/>
      <c r="DA56" s="12"/>
      <c r="DB56" s="5"/>
      <c r="DC56" s="5"/>
      <c r="DD56" s="5"/>
      <c r="DE56" s="12"/>
      <c r="DF56" s="5"/>
      <c r="DG56" s="5"/>
      <c r="DH56" s="5"/>
      <c r="DI56" s="12"/>
      <c r="DJ56" s="5"/>
      <c r="DK56" s="5"/>
      <c r="DL56" s="5"/>
      <c r="DM56" s="12"/>
      <c r="DN56" s="5"/>
      <c r="DO56" s="5"/>
      <c r="DP56" s="5"/>
      <c r="DQ56" s="12"/>
      <c r="DR56" s="5"/>
      <c r="DS56" s="5"/>
      <c r="DT56" s="5"/>
      <c r="DU56" s="12"/>
      <c r="DX56" s="5"/>
      <c r="DZ56" s="5"/>
      <c r="EA56" s="5"/>
    </row>
    <row r="57" spans="1:131" s="14" customFormat="1" x14ac:dyDescent="0.2">
      <c r="A57" s="15">
        <v>1</v>
      </c>
      <c r="B57" s="14" t="s">
        <v>78</v>
      </c>
      <c r="C57" s="15">
        <v>0</v>
      </c>
      <c r="D57" s="15">
        <v>1</v>
      </c>
      <c r="E57" s="16"/>
      <c r="F57" s="15">
        <v>64</v>
      </c>
      <c r="G57" s="15">
        <f t="shared" ref="G57:G72" si="189">$C57*F57</f>
        <v>0</v>
      </c>
      <c r="H57" s="15">
        <f t="shared" ref="H57:H72" si="190">$D57*(6-$C57)*F57</f>
        <v>384</v>
      </c>
      <c r="I57" s="16"/>
      <c r="J57" s="15">
        <v>64</v>
      </c>
      <c r="K57" s="15">
        <f t="shared" ref="K57:K72" si="191">$C57*J57</f>
        <v>0</v>
      </c>
      <c r="L57" s="15">
        <f t="shared" ref="L57:L72" si="192">$D57*(6-$C57)*J57</f>
        <v>384</v>
      </c>
      <c r="M57" s="16"/>
      <c r="N57" s="15">
        <v>64</v>
      </c>
      <c r="O57" s="15">
        <f t="shared" ref="O57:O72" si="193">$C57*N57</f>
        <v>0</v>
      </c>
      <c r="P57" s="15">
        <f t="shared" ref="P57:P72" si="194">$D57*(6-$C57)*N57</f>
        <v>384</v>
      </c>
      <c r="Q57" s="16"/>
      <c r="R57" s="15">
        <v>61</v>
      </c>
      <c r="S57" s="15">
        <f t="shared" ref="S57:S72" si="195">$C57*R57</f>
        <v>0</v>
      </c>
      <c r="T57" s="15">
        <f t="shared" ref="T57:T72" si="196">$D57*(6-$C57)*R57</f>
        <v>366</v>
      </c>
      <c r="U57" s="16"/>
      <c r="V57" s="15">
        <v>60</v>
      </c>
      <c r="W57" s="15">
        <f t="shared" ref="W57:W72" si="197">$C57*V57</f>
        <v>0</v>
      </c>
      <c r="X57" s="15">
        <f t="shared" ref="X57:X72" si="198">$D57*(6-$C57)*V57</f>
        <v>360</v>
      </c>
      <c r="Y57" s="16"/>
      <c r="Z57" s="15">
        <v>64</v>
      </c>
      <c r="AA57" s="15">
        <f t="shared" ref="AA57:AA72" si="199">$C57*Z57</f>
        <v>0</v>
      </c>
      <c r="AB57" s="15">
        <f t="shared" ref="AB57:AB72" si="200">$D57*(6-$C57)*Z57</f>
        <v>384</v>
      </c>
      <c r="AC57" s="16"/>
      <c r="AD57" s="15">
        <v>64</v>
      </c>
      <c r="AE57" s="15">
        <f t="shared" ref="AE57:AE72" si="201">$C57*AD57</f>
        <v>0</v>
      </c>
      <c r="AF57" s="15">
        <f t="shared" ref="AF57:AF72" si="202">$D57*(6-$C57)*AD57</f>
        <v>384</v>
      </c>
      <c r="AG57" s="16"/>
      <c r="AH57" s="15">
        <v>64</v>
      </c>
      <c r="AI57" s="15">
        <f t="shared" ref="AI57:AI72" si="203">$C57*AH57</f>
        <v>0</v>
      </c>
      <c r="AJ57" s="15">
        <f t="shared" ref="AJ57:AJ72" si="204">$D57*(6-$C57)*AH57</f>
        <v>384</v>
      </c>
      <c r="AK57" s="16"/>
      <c r="AL57" s="15">
        <v>61</v>
      </c>
      <c r="AM57" s="15">
        <f t="shared" ref="AM57:AM72" si="205">$C57*AL57</f>
        <v>0</v>
      </c>
      <c r="AN57" s="15">
        <f t="shared" ref="AN57:AN72" si="206">$D57*(6-$C57)*AL57</f>
        <v>366</v>
      </c>
      <c r="AO57" s="16"/>
      <c r="AP57" s="15">
        <v>63</v>
      </c>
      <c r="AQ57" s="15">
        <f t="shared" ref="AQ57:AQ72" si="207">$C57*AP57</f>
        <v>0</v>
      </c>
      <c r="AR57" s="15">
        <f t="shared" ref="AR57:AR72" si="208">$D57*(6-$C57)*AP57</f>
        <v>378</v>
      </c>
      <c r="AS57" s="16"/>
      <c r="AT57" s="15">
        <v>62</v>
      </c>
      <c r="AU57" s="15">
        <f t="shared" ref="AU57:AU72" si="209">$C57*AT57</f>
        <v>0</v>
      </c>
      <c r="AV57" s="15">
        <f t="shared" ref="AV57:AV72" si="210">$D57*(6-$C57)*AT57</f>
        <v>372</v>
      </c>
      <c r="AW57" s="16"/>
      <c r="AX57" s="15">
        <v>62</v>
      </c>
      <c r="AY57" s="15">
        <f t="shared" ref="AY57:AY72" si="211">$C57*AX57</f>
        <v>0</v>
      </c>
      <c r="AZ57" s="15">
        <f t="shared" ref="AZ57:AZ72" si="212">$D57*(6-$C57)*AX57</f>
        <v>372</v>
      </c>
      <c r="BA57" s="16"/>
      <c r="BB57" s="15">
        <v>59</v>
      </c>
      <c r="BC57" s="15">
        <f t="shared" ref="BC57:BC72" si="213">$C57*BB57</f>
        <v>0</v>
      </c>
      <c r="BD57" s="15">
        <f t="shared" ref="BD57:BD72" si="214">$D57*(6-$C57)*BB57</f>
        <v>354</v>
      </c>
      <c r="BE57" s="16"/>
      <c r="BF57" s="15">
        <v>64</v>
      </c>
      <c r="BG57" s="15">
        <f t="shared" ref="BG57:BG72" si="215">$C57*BF57</f>
        <v>0</v>
      </c>
      <c r="BH57" s="15">
        <f t="shared" ref="BH57:BH72" si="216">$D57*(6-$C57)*BF57</f>
        <v>384</v>
      </c>
      <c r="BI57" s="16"/>
      <c r="BJ57" s="15">
        <v>63</v>
      </c>
      <c r="BK57" s="15">
        <f t="shared" ref="BK57:BK72" si="217">$C57*BJ57</f>
        <v>0</v>
      </c>
      <c r="BL57" s="15">
        <f t="shared" ref="BL57:BL72" si="218">$D57*(6-$C57)*BJ57</f>
        <v>378</v>
      </c>
      <c r="BM57" s="16"/>
      <c r="BN57" s="15">
        <v>63</v>
      </c>
      <c r="BO57" s="15">
        <f t="shared" ref="BO57:BO72" si="219">$C57*BN57</f>
        <v>0</v>
      </c>
      <c r="BP57" s="15">
        <f t="shared" ref="BP57:BP72" si="220">$D57*(6-$C57)*BN57</f>
        <v>378</v>
      </c>
      <c r="BQ57" s="16"/>
      <c r="BR57" s="15">
        <v>50</v>
      </c>
      <c r="BS57" s="15">
        <f t="shared" ref="BS57:BS72" si="221">$C57*BR57</f>
        <v>0</v>
      </c>
      <c r="BT57" s="15">
        <f t="shared" ref="BT57:BT72" si="222">$D57*(6-$C57)*BR57</f>
        <v>300</v>
      </c>
      <c r="BU57" s="16"/>
      <c r="BV57" s="15">
        <v>53</v>
      </c>
      <c r="BW57" s="15">
        <f t="shared" ref="BW57:BW72" si="223">$C57*BV57</f>
        <v>0</v>
      </c>
      <c r="BX57" s="15">
        <f t="shared" ref="BX57:BX72" si="224">$D57*(6-$C57)*BV57</f>
        <v>318</v>
      </c>
      <c r="BY57" s="16"/>
      <c r="BZ57" s="15">
        <v>62</v>
      </c>
      <c r="CA57" s="15">
        <f t="shared" ref="CA57:CA72" si="225">$C57*BZ57</f>
        <v>0</v>
      </c>
      <c r="CB57" s="15">
        <f t="shared" ref="CB57:CB72" si="226">$D57*(6-$C57)*BZ57</f>
        <v>372</v>
      </c>
      <c r="CC57" s="16"/>
      <c r="CD57" s="15">
        <v>62</v>
      </c>
      <c r="CE57" s="15">
        <f t="shared" ref="CE57:CE72" si="227">$C57*CD57</f>
        <v>0</v>
      </c>
      <c r="CF57" s="15">
        <f t="shared" ref="CF57:CF72" si="228">$D57*(6-$C57)*CD57</f>
        <v>372</v>
      </c>
      <c r="CG57" s="16"/>
      <c r="CH57" s="15">
        <v>64</v>
      </c>
      <c r="CI57" s="15">
        <f t="shared" ref="CI57:CI72" si="229">$C57*CH57</f>
        <v>0</v>
      </c>
      <c r="CJ57" s="15">
        <f t="shared" ref="CJ57:CJ72" si="230">$D57*(6-$C57)*CH57</f>
        <v>384</v>
      </c>
      <c r="CK57" s="16"/>
      <c r="CL57" s="15">
        <v>61</v>
      </c>
      <c r="CM57" s="15">
        <f t="shared" ref="CM57:CM72" si="231">$C57*CL57</f>
        <v>0</v>
      </c>
      <c r="CN57" s="15">
        <f t="shared" ref="CN57:CN72" si="232">$D57*(6-$C57)*CL57</f>
        <v>366</v>
      </c>
      <c r="CO57" s="16"/>
      <c r="CP57" s="15">
        <v>62</v>
      </c>
      <c r="CQ57" s="15">
        <f t="shared" ref="CQ57:CQ72" si="233">$C57*CP57</f>
        <v>0</v>
      </c>
      <c r="CR57" s="15">
        <f t="shared" ref="CR57:CR72" si="234">$D57*(6-$C57)*CP57</f>
        <v>372</v>
      </c>
      <c r="CS57" s="16"/>
      <c r="CT57" s="15">
        <v>61</v>
      </c>
      <c r="CU57" s="15">
        <f t="shared" ref="CU57:CU72" si="235">$C57*CT57</f>
        <v>0</v>
      </c>
      <c r="CV57" s="15">
        <f t="shared" ref="CV57:CV72" si="236">$D57*(6-$C57)*CT57</f>
        <v>366</v>
      </c>
      <c r="CW57" s="16"/>
      <c r="CX57" s="15">
        <v>64</v>
      </c>
      <c r="CY57" s="15">
        <f t="shared" ref="CY57:CY72" si="237">$C57*CX57</f>
        <v>0</v>
      </c>
      <c r="CZ57" s="15">
        <f t="shared" ref="CZ57:CZ72" si="238">$D57*(6-$C57)*CX57</f>
        <v>384</v>
      </c>
      <c r="DA57" s="16"/>
      <c r="DB57" s="15">
        <v>64</v>
      </c>
      <c r="DC57" s="15">
        <f t="shared" ref="DC57:DC72" si="239">$C57*DB57</f>
        <v>0</v>
      </c>
      <c r="DD57" s="15">
        <f t="shared" ref="DD57:DD72" si="240">$D57*(6-$C57)*DB57</f>
        <v>384</v>
      </c>
      <c r="DE57" s="16"/>
      <c r="DF57" s="15">
        <v>61</v>
      </c>
      <c r="DG57" s="15">
        <f t="shared" ref="DG57:DG72" si="241">$C57*DF57</f>
        <v>0</v>
      </c>
      <c r="DH57" s="15">
        <f t="shared" ref="DH57:DH72" si="242">$D57*(6-$C57)*DF57</f>
        <v>366</v>
      </c>
      <c r="DI57" s="16"/>
      <c r="DJ57" s="15"/>
      <c r="DK57" s="15">
        <f t="shared" ref="DK57:DK72" si="243">$C57*DJ57</f>
        <v>0</v>
      </c>
      <c r="DL57" s="15">
        <f t="shared" ref="DL57:DL72" si="244">$D57*(6-$C57)*DJ57</f>
        <v>0</v>
      </c>
      <c r="DM57" s="16"/>
      <c r="DN57" s="15"/>
      <c r="DO57" s="15">
        <f t="shared" ref="DO57:DO72" si="245">$C57*DN57</f>
        <v>0</v>
      </c>
      <c r="DP57" s="15">
        <f t="shared" ref="DP57:DP72" si="246">$D57*(6-$C57)*DN57</f>
        <v>0</v>
      </c>
      <c r="DQ57" s="16"/>
      <c r="DR57" s="15"/>
      <c r="DS57" s="15">
        <f t="shared" ref="DS57:DS72" si="247">$C57*DR57</f>
        <v>0</v>
      </c>
      <c r="DT57" s="15">
        <f t="shared" ref="DT57:DT72" si="248">$D57*(6-$C57)*DR57</f>
        <v>0</v>
      </c>
      <c r="DU57" s="16"/>
      <c r="DV57" s="15"/>
      <c r="DW57" s="15"/>
      <c r="DX57" s="15">
        <f t="shared" ref="DX57:DX72" si="249">A57*C57</f>
        <v>0</v>
      </c>
      <c r="DZ57" s="15">
        <f t="shared" ref="DZ57:DZ72" si="250">MAX($F57,$J57,$N57,$R57,$V57,$Z57,$AD57,$AH57,$AL57,$AP57,$AT57,$AX57,$BB57,$BF57,$BJ57,$BN57,$BR57,$BV57,$BZ57,$CD57,$CH57,$CL57,$CP57)</f>
        <v>64</v>
      </c>
      <c r="EA57" s="15">
        <f t="shared" ref="EA57:EA72" si="251">MIN($F57,$J57,$N57,$R57,$V57,$Z57,$AD57,$AH57,$AL57,$AP57,$AT57,$AX57,$BB57,$BF57,$BJ57,$BN57,$BR57,$BV57,$BZ57,$CD57,$CH57,$CL57,$CP57)</f>
        <v>50</v>
      </c>
    </row>
    <row r="58" spans="1:131" s="14" customFormat="1" x14ac:dyDescent="0.2">
      <c r="A58" s="15">
        <v>16</v>
      </c>
      <c r="B58" s="32" t="s">
        <v>79</v>
      </c>
      <c r="C58" s="15">
        <v>0</v>
      </c>
      <c r="D58" s="15">
        <v>1</v>
      </c>
      <c r="E58" s="16"/>
      <c r="F58" s="15">
        <v>1</v>
      </c>
      <c r="G58" s="15">
        <f t="shared" si="189"/>
        <v>0</v>
      </c>
      <c r="H58" s="15">
        <f t="shared" si="190"/>
        <v>6</v>
      </c>
      <c r="I58" s="16"/>
      <c r="J58" s="15">
        <v>8</v>
      </c>
      <c r="K58" s="15">
        <f t="shared" si="191"/>
        <v>0</v>
      </c>
      <c r="L58" s="15">
        <f t="shared" si="192"/>
        <v>48</v>
      </c>
      <c r="M58" s="16"/>
      <c r="N58" s="15">
        <v>2</v>
      </c>
      <c r="O58" s="15">
        <f t="shared" si="193"/>
        <v>0</v>
      </c>
      <c r="P58" s="15">
        <f t="shared" si="194"/>
        <v>12</v>
      </c>
      <c r="Q58" s="16"/>
      <c r="R58" s="15">
        <v>3</v>
      </c>
      <c r="S58" s="15">
        <f t="shared" si="195"/>
        <v>0</v>
      </c>
      <c r="T58" s="15">
        <f t="shared" si="196"/>
        <v>18</v>
      </c>
      <c r="U58" s="16"/>
      <c r="V58" s="15">
        <v>4</v>
      </c>
      <c r="W58" s="15">
        <f t="shared" si="197"/>
        <v>0</v>
      </c>
      <c r="X58" s="15">
        <f t="shared" si="198"/>
        <v>24</v>
      </c>
      <c r="Y58" s="16"/>
      <c r="Z58" s="15">
        <v>45</v>
      </c>
      <c r="AA58" s="15">
        <f t="shared" si="199"/>
        <v>0</v>
      </c>
      <c r="AB58" s="15">
        <f t="shared" si="200"/>
        <v>270</v>
      </c>
      <c r="AC58" s="16"/>
      <c r="AD58" s="15">
        <v>7</v>
      </c>
      <c r="AE58" s="15">
        <f t="shared" si="201"/>
        <v>0</v>
      </c>
      <c r="AF58" s="15">
        <f t="shared" si="202"/>
        <v>42</v>
      </c>
      <c r="AG58" s="16"/>
      <c r="AH58" s="15">
        <v>2</v>
      </c>
      <c r="AI58" s="15">
        <f t="shared" si="203"/>
        <v>0</v>
      </c>
      <c r="AJ58" s="15">
        <f t="shared" si="204"/>
        <v>12</v>
      </c>
      <c r="AK58" s="16"/>
      <c r="AL58" s="15">
        <v>4</v>
      </c>
      <c r="AM58" s="15">
        <f t="shared" si="205"/>
        <v>0</v>
      </c>
      <c r="AN58" s="15">
        <f t="shared" si="206"/>
        <v>24</v>
      </c>
      <c r="AO58" s="16"/>
      <c r="AP58" s="15">
        <v>8</v>
      </c>
      <c r="AQ58" s="15">
        <f t="shared" si="207"/>
        <v>0</v>
      </c>
      <c r="AR58" s="15">
        <f t="shared" si="208"/>
        <v>48</v>
      </c>
      <c r="AS58" s="16"/>
      <c r="AT58" s="15">
        <v>31</v>
      </c>
      <c r="AU58" s="15">
        <f t="shared" si="209"/>
        <v>0</v>
      </c>
      <c r="AV58" s="15">
        <f t="shared" si="210"/>
        <v>186</v>
      </c>
      <c r="AW58" s="16"/>
      <c r="AX58" s="15">
        <v>6</v>
      </c>
      <c r="AY58" s="15">
        <f t="shared" si="211"/>
        <v>0</v>
      </c>
      <c r="AZ58" s="15">
        <f t="shared" si="212"/>
        <v>36</v>
      </c>
      <c r="BA58" s="16"/>
      <c r="BB58" s="15">
        <v>4</v>
      </c>
      <c r="BC58" s="15">
        <f t="shared" si="213"/>
        <v>0</v>
      </c>
      <c r="BD58" s="15">
        <f t="shared" si="214"/>
        <v>24</v>
      </c>
      <c r="BE58" s="16"/>
      <c r="BF58" s="15">
        <v>7</v>
      </c>
      <c r="BG58" s="15">
        <f t="shared" si="215"/>
        <v>0</v>
      </c>
      <c r="BH58" s="15">
        <f t="shared" si="216"/>
        <v>42</v>
      </c>
      <c r="BI58" s="16"/>
      <c r="BJ58" s="15">
        <v>1</v>
      </c>
      <c r="BK58" s="15">
        <f t="shared" si="217"/>
        <v>0</v>
      </c>
      <c r="BL58" s="15">
        <f t="shared" si="218"/>
        <v>6</v>
      </c>
      <c r="BM58" s="16"/>
      <c r="BN58" s="15">
        <v>1</v>
      </c>
      <c r="BO58" s="15">
        <f t="shared" si="219"/>
        <v>0</v>
      </c>
      <c r="BP58" s="15">
        <f t="shared" si="220"/>
        <v>6</v>
      </c>
      <c r="BQ58" s="16"/>
      <c r="BR58" s="15">
        <v>3</v>
      </c>
      <c r="BS58" s="15">
        <f t="shared" si="221"/>
        <v>0</v>
      </c>
      <c r="BT58" s="15">
        <f t="shared" si="222"/>
        <v>18</v>
      </c>
      <c r="BU58" s="16"/>
      <c r="BV58" s="15">
        <v>25</v>
      </c>
      <c r="BW58" s="15">
        <f t="shared" si="223"/>
        <v>0</v>
      </c>
      <c r="BX58" s="15">
        <f t="shared" si="224"/>
        <v>150</v>
      </c>
      <c r="BY58" s="16"/>
      <c r="BZ58" s="15">
        <v>2</v>
      </c>
      <c r="CA58" s="15">
        <f t="shared" si="225"/>
        <v>0</v>
      </c>
      <c r="CB58" s="15">
        <f t="shared" si="226"/>
        <v>12</v>
      </c>
      <c r="CC58" s="16"/>
      <c r="CD58" s="15">
        <v>4</v>
      </c>
      <c r="CE58" s="15">
        <f t="shared" si="227"/>
        <v>0</v>
      </c>
      <c r="CF58" s="15">
        <f t="shared" si="228"/>
        <v>24</v>
      </c>
      <c r="CG58" s="16"/>
      <c r="CH58" s="15">
        <v>2</v>
      </c>
      <c r="CI58" s="15">
        <f t="shared" si="229"/>
        <v>0</v>
      </c>
      <c r="CJ58" s="15">
        <f t="shared" si="230"/>
        <v>12</v>
      </c>
      <c r="CK58" s="16"/>
      <c r="CL58" s="15">
        <v>2</v>
      </c>
      <c r="CM58" s="15">
        <f t="shared" si="231"/>
        <v>0</v>
      </c>
      <c r="CN58" s="15">
        <f t="shared" si="232"/>
        <v>12</v>
      </c>
      <c r="CO58" s="16"/>
      <c r="CP58" s="15">
        <v>7</v>
      </c>
      <c r="CQ58" s="15">
        <f t="shared" si="233"/>
        <v>0</v>
      </c>
      <c r="CR58" s="15">
        <f t="shared" si="234"/>
        <v>42</v>
      </c>
      <c r="CS58" s="16"/>
      <c r="CT58" s="15">
        <v>4</v>
      </c>
      <c r="CU58" s="15">
        <f t="shared" si="235"/>
        <v>0</v>
      </c>
      <c r="CV58" s="15">
        <f t="shared" si="236"/>
        <v>24</v>
      </c>
      <c r="CW58" s="16"/>
      <c r="CX58" s="15">
        <v>2</v>
      </c>
      <c r="CY58" s="15">
        <f t="shared" si="237"/>
        <v>0</v>
      </c>
      <c r="CZ58" s="15">
        <f t="shared" si="238"/>
        <v>12</v>
      </c>
      <c r="DA58" s="16"/>
      <c r="DB58" s="15">
        <v>4</v>
      </c>
      <c r="DC58" s="15">
        <f t="shared" si="239"/>
        <v>0</v>
      </c>
      <c r="DD58" s="15">
        <f t="shared" si="240"/>
        <v>24</v>
      </c>
      <c r="DE58" s="16"/>
      <c r="DF58" s="15">
        <v>4</v>
      </c>
      <c r="DG58" s="15">
        <f t="shared" si="241"/>
        <v>0</v>
      </c>
      <c r="DH58" s="15">
        <f t="shared" si="242"/>
        <v>24</v>
      </c>
      <c r="DI58" s="16"/>
      <c r="DJ58" s="15"/>
      <c r="DK58" s="15">
        <f t="shared" si="243"/>
        <v>0</v>
      </c>
      <c r="DL58" s="15">
        <f t="shared" si="244"/>
        <v>0</v>
      </c>
      <c r="DM58" s="16"/>
      <c r="DN58" s="15"/>
      <c r="DO58" s="15">
        <f t="shared" si="245"/>
        <v>0</v>
      </c>
      <c r="DP58" s="15">
        <f t="shared" si="246"/>
        <v>0</v>
      </c>
      <c r="DQ58" s="16"/>
      <c r="DR58" s="15"/>
      <c r="DS58" s="15">
        <f t="shared" si="247"/>
        <v>0</v>
      </c>
      <c r="DT58" s="15">
        <f t="shared" si="248"/>
        <v>0</v>
      </c>
      <c r="DU58" s="16"/>
      <c r="DV58" s="15"/>
      <c r="DW58" s="15"/>
      <c r="DX58" s="15">
        <f t="shared" si="249"/>
        <v>0</v>
      </c>
      <c r="DZ58" s="15">
        <f t="shared" si="250"/>
        <v>45</v>
      </c>
      <c r="EA58" s="15">
        <f t="shared" si="251"/>
        <v>1</v>
      </c>
    </row>
    <row r="59" spans="1:131" s="14" customFormat="1" x14ac:dyDescent="0.2">
      <c r="A59" s="15">
        <v>8</v>
      </c>
      <c r="B59" s="14" t="s">
        <v>80</v>
      </c>
      <c r="C59" s="15">
        <v>0</v>
      </c>
      <c r="D59" s="15">
        <v>1</v>
      </c>
      <c r="E59" s="16"/>
      <c r="F59" s="15">
        <v>23</v>
      </c>
      <c r="G59" s="15">
        <f t="shared" si="189"/>
        <v>0</v>
      </c>
      <c r="H59" s="15">
        <f t="shared" si="190"/>
        <v>138</v>
      </c>
      <c r="I59" s="16"/>
      <c r="J59" s="15">
        <v>38</v>
      </c>
      <c r="K59" s="15">
        <f t="shared" si="191"/>
        <v>0</v>
      </c>
      <c r="L59" s="15">
        <f t="shared" si="192"/>
        <v>228</v>
      </c>
      <c r="M59" s="16"/>
      <c r="N59" s="15">
        <v>35</v>
      </c>
      <c r="O59" s="15">
        <f t="shared" si="193"/>
        <v>0</v>
      </c>
      <c r="P59" s="15">
        <f t="shared" si="194"/>
        <v>210</v>
      </c>
      <c r="Q59" s="16"/>
      <c r="R59" s="15">
        <v>28</v>
      </c>
      <c r="S59" s="15">
        <f t="shared" si="195"/>
        <v>0</v>
      </c>
      <c r="T59" s="15">
        <f t="shared" si="196"/>
        <v>168</v>
      </c>
      <c r="U59" s="16"/>
      <c r="V59" s="15">
        <v>22</v>
      </c>
      <c r="W59" s="15">
        <f t="shared" si="197"/>
        <v>0</v>
      </c>
      <c r="X59" s="15">
        <f t="shared" si="198"/>
        <v>132</v>
      </c>
      <c r="Y59" s="16"/>
      <c r="Z59" s="15">
        <v>50</v>
      </c>
      <c r="AA59" s="15">
        <f t="shared" si="199"/>
        <v>0</v>
      </c>
      <c r="AB59" s="15">
        <f t="shared" si="200"/>
        <v>300</v>
      </c>
      <c r="AC59" s="16"/>
      <c r="AD59" s="15">
        <v>31</v>
      </c>
      <c r="AE59" s="15">
        <f t="shared" si="201"/>
        <v>0</v>
      </c>
      <c r="AF59" s="15">
        <f t="shared" si="202"/>
        <v>186</v>
      </c>
      <c r="AG59" s="16"/>
      <c r="AH59" s="15">
        <v>23</v>
      </c>
      <c r="AI59" s="15">
        <f t="shared" si="203"/>
        <v>0</v>
      </c>
      <c r="AJ59" s="15">
        <f t="shared" si="204"/>
        <v>138</v>
      </c>
      <c r="AK59" s="16"/>
      <c r="AL59" s="15">
        <v>35</v>
      </c>
      <c r="AM59" s="15">
        <f t="shared" si="205"/>
        <v>0</v>
      </c>
      <c r="AN59" s="15">
        <f t="shared" si="206"/>
        <v>210</v>
      </c>
      <c r="AO59" s="16"/>
      <c r="AP59" s="15">
        <v>31</v>
      </c>
      <c r="AQ59" s="15">
        <f t="shared" si="207"/>
        <v>0</v>
      </c>
      <c r="AR59" s="15">
        <f t="shared" si="208"/>
        <v>186</v>
      </c>
      <c r="AS59" s="16"/>
      <c r="AT59" s="15">
        <v>15</v>
      </c>
      <c r="AU59" s="15">
        <f t="shared" si="209"/>
        <v>0</v>
      </c>
      <c r="AV59" s="15">
        <f t="shared" si="210"/>
        <v>90</v>
      </c>
      <c r="AW59" s="16"/>
      <c r="AX59" s="15">
        <v>33</v>
      </c>
      <c r="AY59" s="15">
        <f t="shared" si="211"/>
        <v>0</v>
      </c>
      <c r="AZ59" s="15">
        <f t="shared" si="212"/>
        <v>198</v>
      </c>
      <c r="BA59" s="16"/>
      <c r="BB59" s="15">
        <v>31</v>
      </c>
      <c r="BC59" s="15">
        <f t="shared" si="213"/>
        <v>0</v>
      </c>
      <c r="BD59" s="15">
        <f t="shared" si="214"/>
        <v>186</v>
      </c>
      <c r="BE59" s="16"/>
      <c r="BF59" s="15">
        <v>30</v>
      </c>
      <c r="BG59" s="15">
        <f t="shared" si="215"/>
        <v>0</v>
      </c>
      <c r="BH59" s="15">
        <f t="shared" si="216"/>
        <v>180</v>
      </c>
      <c r="BI59" s="16"/>
      <c r="BJ59" s="15">
        <v>29</v>
      </c>
      <c r="BK59" s="15">
        <f t="shared" si="217"/>
        <v>0</v>
      </c>
      <c r="BL59" s="15">
        <f t="shared" si="218"/>
        <v>174</v>
      </c>
      <c r="BM59" s="16"/>
      <c r="BN59" s="15">
        <v>23</v>
      </c>
      <c r="BO59" s="15">
        <f t="shared" si="219"/>
        <v>0</v>
      </c>
      <c r="BP59" s="15">
        <f t="shared" si="220"/>
        <v>138</v>
      </c>
      <c r="BQ59" s="16"/>
      <c r="BR59" s="15">
        <v>63</v>
      </c>
      <c r="BS59" s="15">
        <f t="shared" si="221"/>
        <v>0</v>
      </c>
      <c r="BT59" s="15">
        <f t="shared" si="222"/>
        <v>378</v>
      </c>
      <c r="BU59" s="16"/>
      <c r="BV59" s="15">
        <v>38</v>
      </c>
      <c r="BW59" s="15">
        <f t="shared" si="223"/>
        <v>0</v>
      </c>
      <c r="BX59" s="15">
        <f t="shared" si="224"/>
        <v>228</v>
      </c>
      <c r="BY59" s="16"/>
      <c r="BZ59" s="15">
        <v>21</v>
      </c>
      <c r="CA59" s="15">
        <f t="shared" si="225"/>
        <v>0</v>
      </c>
      <c r="CB59" s="15">
        <f t="shared" si="226"/>
        <v>126</v>
      </c>
      <c r="CC59" s="16"/>
      <c r="CD59" s="15">
        <v>33</v>
      </c>
      <c r="CE59" s="15">
        <f t="shared" si="227"/>
        <v>0</v>
      </c>
      <c r="CF59" s="15">
        <f t="shared" si="228"/>
        <v>198</v>
      </c>
      <c r="CG59" s="16"/>
      <c r="CH59" s="15">
        <v>37</v>
      </c>
      <c r="CI59" s="15">
        <f t="shared" si="229"/>
        <v>0</v>
      </c>
      <c r="CJ59" s="15">
        <f t="shared" si="230"/>
        <v>222</v>
      </c>
      <c r="CK59" s="16"/>
      <c r="CL59" s="15">
        <v>31</v>
      </c>
      <c r="CM59" s="15">
        <f t="shared" si="231"/>
        <v>0</v>
      </c>
      <c r="CN59" s="15">
        <f t="shared" si="232"/>
        <v>186</v>
      </c>
      <c r="CO59" s="16"/>
      <c r="CP59" s="15">
        <v>34</v>
      </c>
      <c r="CQ59" s="15">
        <f t="shared" si="233"/>
        <v>0</v>
      </c>
      <c r="CR59" s="15">
        <f t="shared" si="234"/>
        <v>204</v>
      </c>
      <c r="CS59" s="16"/>
      <c r="CT59" s="15">
        <v>41</v>
      </c>
      <c r="CU59" s="15">
        <f t="shared" si="235"/>
        <v>0</v>
      </c>
      <c r="CV59" s="15">
        <f t="shared" si="236"/>
        <v>246</v>
      </c>
      <c r="CW59" s="16"/>
      <c r="CX59" s="15">
        <v>41</v>
      </c>
      <c r="CY59" s="15">
        <f t="shared" si="237"/>
        <v>0</v>
      </c>
      <c r="CZ59" s="15">
        <f t="shared" si="238"/>
        <v>246</v>
      </c>
      <c r="DA59" s="16"/>
      <c r="DB59" s="15">
        <v>34</v>
      </c>
      <c r="DC59" s="15">
        <f t="shared" si="239"/>
        <v>0</v>
      </c>
      <c r="DD59" s="15">
        <f t="shared" si="240"/>
        <v>204</v>
      </c>
      <c r="DE59" s="16"/>
      <c r="DF59" s="15">
        <v>33</v>
      </c>
      <c r="DG59" s="15">
        <f t="shared" si="241"/>
        <v>0</v>
      </c>
      <c r="DH59" s="15">
        <f t="shared" si="242"/>
        <v>198</v>
      </c>
      <c r="DI59" s="16"/>
      <c r="DJ59" s="15"/>
      <c r="DK59" s="15">
        <f t="shared" si="243"/>
        <v>0</v>
      </c>
      <c r="DL59" s="15">
        <f t="shared" si="244"/>
        <v>0</v>
      </c>
      <c r="DM59" s="16"/>
      <c r="DN59" s="15"/>
      <c r="DO59" s="15">
        <f t="shared" si="245"/>
        <v>0</v>
      </c>
      <c r="DP59" s="15">
        <f t="shared" si="246"/>
        <v>0</v>
      </c>
      <c r="DQ59" s="16"/>
      <c r="DR59" s="15"/>
      <c r="DS59" s="15">
        <f t="shared" si="247"/>
        <v>0</v>
      </c>
      <c r="DT59" s="15">
        <f t="shared" si="248"/>
        <v>0</v>
      </c>
      <c r="DU59" s="16"/>
      <c r="DV59" s="15"/>
      <c r="DW59" s="15"/>
      <c r="DX59" s="15">
        <f t="shared" si="249"/>
        <v>0</v>
      </c>
      <c r="DZ59" s="15">
        <f t="shared" si="250"/>
        <v>63</v>
      </c>
      <c r="EA59" s="15">
        <f t="shared" si="251"/>
        <v>15</v>
      </c>
    </row>
    <row r="60" spans="1:131" s="14" customFormat="1" x14ac:dyDescent="0.2">
      <c r="A60" s="15">
        <v>9</v>
      </c>
      <c r="B60" s="14" t="s">
        <v>81</v>
      </c>
      <c r="C60" s="15">
        <v>0</v>
      </c>
      <c r="D60" s="15">
        <v>1</v>
      </c>
      <c r="E60" s="16"/>
      <c r="F60" s="15">
        <v>32</v>
      </c>
      <c r="G60" s="15">
        <f t="shared" si="189"/>
        <v>0</v>
      </c>
      <c r="H60" s="15">
        <f t="shared" si="190"/>
        <v>192</v>
      </c>
      <c r="I60" s="16"/>
      <c r="J60" s="15">
        <v>26</v>
      </c>
      <c r="K60" s="15">
        <f t="shared" si="191"/>
        <v>0</v>
      </c>
      <c r="L60" s="15">
        <f t="shared" si="192"/>
        <v>156</v>
      </c>
      <c r="M60" s="16"/>
      <c r="N60" s="15">
        <v>28</v>
      </c>
      <c r="O60" s="15">
        <f t="shared" si="193"/>
        <v>0</v>
      </c>
      <c r="P60" s="15">
        <f t="shared" si="194"/>
        <v>168</v>
      </c>
      <c r="Q60" s="16"/>
      <c r="R60" s="15">
        <v>27</v>
      </c>
      <c r="S60" s="15">
        <f t="shared" si="195"/>
        <v>0</v>
      </c>
      <c r="T60" s="15">
        <f t="shared" si="196"/>
        <v>162</v>
      </c>
      <c r="U60" s="16"/>
      <c r="V60" s="15">
        <v>26</v>
      </c>
      <c r="W60" s="15">
        <f t="shared" si="197"/>
        <v>0</v>
      </c>
      <c r="X60" s="15">
        <f t="shared" si="198"/>
        <v>156</v>
      </c>
      <c r="Y60" s="16"/>
      <c r="Z60" s="15">
        <v>39</v>
      </c>
      <c r="AA60" s="15">
        <f t="shared" si="199"/>
        <v>0</v>
      </c>
      <c r="AB60" s="15">
        <f t="shared" si="200"/>
        <v>234</v>
      </c>
      <c r="AC60" s="16"/>
      <c r="AD60" s="15">
        <v>40</v>
      </c>
      <c r="AE60" s="15">
        <f t="shared" si="201"/>
        <v>0</v>
      </c>
      <c r="AF60" s="15">
        <f t="shared" si="202"/>
        <v>240</v>
      </c>
      <c r="AG60" s="16"/>
      <c r="AH60" s="15">
        <v>35</v>
      </c>
      <c r="AI60" s="15">
        <f t="shared" si="203"/>
        <v>0</v>
      </c>
      <c r="AJ60" s="15">
        <f t="shared" si="204"/>
        <v>210</v>
      </c>
      <c r="AK60" s="16"/>
      <c r="AL60" s="15">
        <v>23</v>
      </c>
      <c r="AM60" s="15">
        <f t="shared" si="205"/>
        <v>0</v>
      </c>
      <c r="AN60" s="15">
        <f t="shared" si="206"/>
        <v>138</v>
      </c>
      <c r="AO60" s="16"/>
      <c r="AP60" s="15">
        <v>23</v>
      </c>
      <c r="AQ60" s="15">
        <f t="shared" si="207"/>
        <v>0</v>
      </c>
      <c r="AR60" s="15">
        <f t="shared" si="208"/>
        <v>138</v>
      </c>
      <c r="AS60" s="16"/>
      <c r="AT60" s="15">
        <v>41</v>
      </c>
      <c r="AU60" s="15">
        <f t="shared" si="209"/>
        <v>0</v>
      </c>
      <c r="AV60" s="15">
        <f t="shared" si="210"/>
        <v>246</v>
      </c>
      <c r="AW60" s="16"/>
      <c r="AX60" s="15">
        <v>21</v>
      </c>
      <c r="AY60" s="15">
        <f t="shared" si="211"/>
        <v>0</v>
      </c>
      <c r="AZ60" s="15">
        <f t="shared" si="212"/>
        <v>126</v>
      </c>
      <c r="BA60" s="16"/>
      <c r="BB60" s="15">
        <v>21</v>
      </c>
      <c r="BC60" s="15">
        <f t="shared" si="213"/>
        <v>0</v>
      </c>
      <c r="BD60" s="15">
        <f t="shared" si="214"/>
        <v>126</v>
      </c>
      <c r="BE60" s="16"/>
      <c r="BF60" s="15">
        <v>28</v>
      </c>
      <c r="BG60" s="15">
        <f t="shared" si="215"/>
        <v>0</v>
      </c>
      <c r="BH60" s="15">
        <f t="shared" si="216"/>
        <v>168</v>
      </c>
      <c r="BI60" s="16"/>
      <c r="BJ60" s="15">
        <v>30</v>
      </c>
      <c r="BK60" s="15">
        <f t="shared" si="217"/>
        <v>0</v>
      </c>
      <c r="BL60" s="15">
        <f t="shared" si="218"/>
        <v>180</v>
      </c>
      <c r="BM60" s="16"/>
      <c r="BN60" s="15">
        <v>21</v>
      </c>
      <c r="BO60" s="15">
        <f t="shared" si="219"/>
        <v>0</v>
      </c>
      <c r="BP60" s="15">
        <f t="shared" si="220"/>
        <v>126</v>
      </c>
      <c r="BQ60" s="16"/>
      <c r="BR60" s="15">
        <v>26</v>
      </c>
      <c r="BS60" s="15">
        <f t="shared" si="221"/>
        <v>0</v>
      </c>
      <c r="BT60" s="15">
        <f t="shared" si="222"/>
        <v>156</v>
      </c>
      <c r="BU60" s="16"/>
      <c r="BV60" s="15">
        <v>26</v>
      </c>
      <c r="BW60" s="15">
        <f t="shared" si="223"/>
        <v>0</v>
      </c>
      <c r="BX60" s="15">
        <f t="shared" si="224"/>
        <v>156</v>
      </c>
      <c r="BY60" s="16"/>
      <c r="BZ60" s="15">
        <v>20</v>
      </c>
      <c r="CA60" s="15">
        <f t="shared" si="225"/>
        <v>0</v>
      </c>
      <c r="CB60" s="15">
        <f t="shared" si="226"/>
        <v>120</v>
      </c>
      <c r="CC60" s="16"/>
      <c r="CD60" s="15">
        <v>32</v>
      </c>
      <c r="CE60" s="15">
        <f t="shared" si="227"/>
        <v>0</v>
      </c>
      <c r="CF60" s="15">
        <f t="shared" si="228"/>
        <v>192</v>
      </c>
      <c r="CG60" s="16"/>
      <c r="CH60" s="15">
        <v>21</v>
      </c>
      <c r="CI60" s="15">
        <f t="shared" si="229"/>
        <v>0</v>
      </c>
      <c r="CJ60" s="15">
        <f t="shared" si="230"/>
        <v>126</v>
      </c>
      <c r="CK60" s="16"/>
      <c r="CL60" s="15">
        <v>42</v>
      </c>
      <c r="CM60" s="15">
        <f t="shared" si="231"/>
        <v>0</v>
      </c>
      <c r="CN60" s="15">
        <f t="shared" si="232"/>
        <v>252</v>
      </c>
      <c r="CO60" s="16"/>
      <c r="CP60" s="15">
        <v>32</v>
      </c>
      <c r="CQ60" s="15">
        <f t="shared" si="233"/>
        <v>0</v>
      </c>
      <c r="CR60" s="15">
        <f t="shared" si="234"/>
        <v>192</v>
      </c>
      <c r="CS60" s="16"/>
      <c r="CT60" s="15">
        <v>24</v>
      </c>
      <c r="CU60" s="15">
        <f t="shared" si="235"/>
        <v>0</v>
      </c>
      <c r="CV60" s="15">
        <f t="shared" si="236"/>
        <v>144</v>
      </c>
      <c r="CW60" s="16"/>
      <c r="CX60" s="15">
        <v>34</v>
      </c>
      <c r="CY60" s="15">
        <f t="shared" si="237"/>
        <v>0</v>
      </c>
      <c r="CZ60" s="15">
        <f t="shared" si="238"/>
        <v>204</v>
      </c>
      <c r="DA60" s="16"/>
      <c r="DB60" s="15">
        <v>39</v>
      </c>
      <c r="DC60" s="15">
        <f t="shared" si="239"/>
        <v>0</v>
      </c>
      <c r="DD60" s="15">
        <f t="shared" si="240"/>
        <v>234</v>
      </c>
      <c r="DE60" s="16"/>
      <c r="DF60" s="15">
        <v>29</v>
      </c>
      <c r="DG60" s="15">
        <f t="shared" si="241"/>
        <v>0</v>
      </c>
      <c r="DH60" s="15">
        <f t="shared" si="242"/>
        <v>174</v>
      </c>
      <c r="DI60" s="16"/>
      <c r="DJ60" s="15"/>
      <c r="DK60" s="15">
        <f t="shared" si="243"/>
        <v>0</v>
      </c>
      <c r="DL60" s="15">
        <f t="shared" si="244"/>
        <v>0</v>
      </c>
      <c r="DM60" s="16"/>
      <c r="DN60" s="15"/>
      <c r="DO60" s="15">
        <f t="shared" si="245"/>
        <v>0</v>
      </c>
      <c r="DP60" s="15">
        <f t="shared" si="246"/>
        <v>0</v>
      </c>
      <c r="DQ60" s="16"/>
      <c r="DR60" s="15"/>
      <c r="DS60" s="15">
        <f t="shared" si="247"/>
        <v>0</v>
      </c>
      <c r="DT60" s="15">
        <f t="shared" si="248"/>
        <v>0</v>
      </c>
      <c r="DU60" s="16"/>
      <c r="DV60" s="15"/>
      <c r="DW60" s="15"/>
      <c r="DX60" s="15">
        <f t="shared" si="249"/>
        <v>0</v>
      </c>
      <c r="DZ60" s="15">
        <f t="shared" si="250"/>
        <v>42</v>
      </c>
      <c r="EA60" s="15">
        <f t="shared" si="251"/>
        <v>20</v>
      </c>
    </row>
    <row r="61" spans="1:131" s="14" customFormat="1" x14ac:dyDescent="0.2">
      <c r="A61" s="15">
        <v>5</v>
      </c>
      <c r="B61" s="14" t="s">
        <v>82</v>
      </c>
      <c r="C61" s="15">
        <v>0</v>
      </c>
      <c r="D61" s="15">
        <v>1</v>
      </c>
      <c r="E61" s="16"/>
      <c r="F61" s="15">
        <v>42</v>
      </c>
      <c r="G61" s="15">
        <f t="shared" si="189"/>
        <v>0</v>
      </c>
      <c r="H61" s="15">
        <f t="shared" si="190"/>
        <v>252</v>
      </c>
      <c r="I61" s="16"/>
      <c r="J61" s="15">
        <v>41</v>
      </c>
      <c r="K61" s="15">
        <f t="shared" si="191"/>
        <v>0</v>
      </c>
      <c r="L61" s="15">
        <f t="shared" si="192"/>
        <v>246</v>
      </c>
      <c r="M61" s="16"/>
      <c r="N61" s="15">
        <v>43</v>
      </c>
      <c r="O61" s="15">
        <f t="shared" si="193"/>
        <v>0</v>
      </c>
      <c r="P61" s="15">
        <f t="shared" si="194"/>
        <v>258</v>
      </c>
      <c r="Q61" s="16"/>
      <c r="R61" s="15">
        <v>49</v>
      </c>
      <c r="S61" s="15">
        <f t="shared" si="195"/>
        <v>0</v>
      </c>
      <c r="T61" s="15">
        <f t="shared" si="196"/>
        <v>294</v>
      </c>
      <c r="U61" s="16"/>
      <c r="V61" s="15">
        <v>46</v>
      </c>
      <c r="W61" s="15">
        <f t="shared" si="197"/>
        <v>0</v>
      </c>
      <c r="X61" s="15">
        <f t="shared" si="198"/>
        <v>276</v>
      </c>
      <c r="Y61" s="16"/>
      <c r="Z61" s="15">
        <v>40</v>
      </c>
      <c r="AA61" s="15">
        <f t="shared" si="199"/>
        <v>0</v>
      </c>
      <c r="AB61" s="15">
        <f t="shared" si="200"/>
        <v>240</v>
      </c>
      <c r="AC61" s="16"/>
      <c r="AD61" s="15">
        <v>41</v>
      </c>
      <c r="AE61" s="15">
        <f t="shared" si="201"/>
        <v>0</v>
      </c>
      <c r="AF61" s="15">
        <f t="shared" si="202"/>
        <v>246</v>
      </c>
      <c r="AG61" s="16"/>
      <c r="AH61" s="15">
        <v>44</v>
      </c>
      <c r="AI61" s="15">
        <f t="shared" si="203"/>
        <v>0</v>
      </c>
      <c r="AJ61" s="15">
        <f t="shared" si="204"/>
        <v>264</v>
      </c>
      <c r="AK61" s="16"/>
      <c r="AL61" s="15">
        <v>46</v>
      </c>
      <c r="AM61" s="15">
        <f t="shared" si="205"/>
        <v>0</v>
      </c>
      <c r="AN61" s="15">
        <f t="shared" si="206"/>
        <v>276</v>
      </c>
      <c r="AO61" s="16"/>
      <c r="AP61" s="15">
        <v>46</v>
      </c>
      <c r="AQ61" s="15">
        <f t="shared" si="207"/>
        <v>0</v>
      </c>
      <c r="AR61" s="15">
        <f t="shared" si="208"/>
        <v>276</v>
      </c>
      <c r="AS61" s="16"/>
      <c r="AT61" s="15">
        <v>50</v>
      </c>
      <c r="AU61" s="15">
        <f t="shared" si="209"/>
        <v>0</v>
      </c>
      <c r="AV61" s="15">
        <f t="shared" si="210"/>
        <v>300</v>
      </c>
      <c r="AW61" s="16"/>
      <c r="AX61" s="15">
        <v>46</v>
      </c>
      <c r="AY61" s="15">
        <f t="shared" si="211"/>
        <v>0</v>
      </c>
      <c r="AZ61" s="15">
        <f t="shared" si="212"/>
        <v>276</v>
      </c>
      <c r="BA61" s="16"/>
      <c r="BB61" s="15">
        <v>51</v>
      </c>
      <c r="BC61" s="15">
        <f t="shared" si="213"/>
        <v>0</v>
      </c>
      <c r="BD61" s="15">
        <f t="shared" si="214"/>
        <v>306</v>
      </c>
      <c r="BE61" s="16"/>
      <c r="BF61" s="15">
        <v>44</v>
      </c>
      <c r="BG61" s="15">
        <f t="shared" si="215"/>
        <v>0</v>
      </c>
      <c r="BH61" s="15">
        <f t="shared" si="216"/>
        <v>264</v>
      </c>
      <c r="BI61" s="16"/>
      <c r="BJ61" s="15">
        <v>40</v>
      </c>
      <c r="BK61" s="15">
        <f t="shared" si="217"/>
        <v>0</v>
      </c>
      <c r="BL61" s="15">
        <f t="shared" si="218"/>
        <v>240</v>
      </c>
      <c r="BM61" s="16"/>
      <c r="BN61" s="15">
        <v>39</v>
      </c>
      <c r="BO61" s="15">
        <f t="shared" si="219"/>
        <v>0</v>
      </c>
      <c r="BP61" s="15">
        <f t="shared" si="220"/>
        <v>234</v>
      </c>
      <c r="BQ61" s="16"/>
      <c r="BR61" s="15">
        <v>46</v>
      </c>
      <c r="BS61" s="15">
        <f t="shared" si="221"/>
        <v>0</v>
      </c>
      <c r="BT61" s="15">
        <f t="shared" si="222"/>
        <v>276</v>
      </c>
      <c r="BU61" s="16"/>
      <c r="BV61" s="15">
        <v>27</v>
      </c>
      <c r="BW61" s="15">
        <f t="shared" si="223"/>
        <v>0</v>
      </c>
      <c r="BX61" s="15">
        <f t="shared" si="224"/>
        <v>162</v>
      </c>
      <c r="BY61" s="16"/>
      <c r="BZ61" s="15">
        <v>48</v>
      </c>
      <c r="CA61" s="15">
        <f t="shared" si="225"/>
        <v>0</v>
      </c>
      <c r="CB61" s="15">
        <f t="shared" si="226"/>
        <v>288</v>
      </c>
      <c r="CC61" s="16"/>
      <c r="CD61" s="15">
        <v>56</v>
      </c>
      <c r="CE61" s="15">
        <f t="shared" si="227"/>
        <v>0</v>
      </c>
      <c r="CF61" s="15">
        <f t="shared" si="228"/>
        <v>336</v>
      </c>
      <c r="CG61" s="16"/>
      <c r="CH61" s="15">
        <v>36</v>
      </c>
      <c r="CI61" s="15">
        <f t="shared" si="229"/>
        <v>0</v>
      </c>
      <c r="CJ61" s="15">
        <f t="shared" si="230"/>
        <v>216</v>
      </c>
      <c r="CK61" s="16"/>
      <c r="CL61" s="15">
        <v>44</v>
      </c>
      <c r="CM61" s="15">
        <f t="shared" si="231"/>
        <v>0</v>
      </c>
      <c r="CN61" s="15">
        <f t="shared" si="232"/>
        <v>264</v>
      </c>
      <c r="CO61" s="16"/>
      <c r="CP61" s="15">
        <v>47</v>
      </c>
      <c r="CQ61" s="15">
        <f t="shared" si="233"/>
        <v>0</v>
      </c>
      <c r="CR61" s="15">
        <f t="shared" si="234"/>
        <v>282</v>
      </c>
      <c r="CS61" s="16"/>
      <c r="CT61" s="15">
        <v>36</v>
      </c>
      <c r="CU61" s="15">
        <f t="shared" si="235"/>
        <v>0</v>
      </c>
      <c r="CV61" s="15">
        <f t="shared" si="236"/>
        <v>216</v>
      </c>
      <c r="CW61" s="16"/>
      <c r="CX61" s="15">
        <v>25</v>
      </c>
      <c r="CY61" s="15">
        <f t="shared" si="237"/>
        <v>0</v>
      </c>
      <c r="CZ61" s="15">
        <f t="shared" si="238"/>
        <v>150</v>
      </c>
      <c r="DA61" s="16"/>
      <c r="DB61" s="15">
        <v>51</v>
      </c>
      <c r="DC61" s="15">
        <f t="shared" si="239"/>
        <v>0</v>
      </c>
      <c r="DD61" s="15">
        <f t="shared" si="240"/>
        <v>306</v>
      </c>
      <c r="DE61" s="16"/>
      <c r="DF61" s="15">
        <v>45</v>
      </c>
      <c r="DG61" s="15">
        <f t="shared" si="241"/>
        <v>0</v>
      </c>
      <c r="DH61" s="15">
        <f t="shared" si="242"/>
        <v>270</v>
      </c>
      <c r="DI61" s="16"/>
      <c r="DJ61" s="15"/>
      <c r="DK61" s="15">
        <f t="shared" si="243"/>
        <v>0</v>
      </c>
      <c r="DL61" s="15">
        <f t="shared" si="244"/>
        <v>0</v>
      </c>
      <c r="DM61" s="16"/>
      <c r="DN61" s="15"/>
      <c r="DO61" s="15">
        <f t="shared" si="245"/>
        <v>0</v>
      </c>
      <c r="DP61" s="15">
        <f t="shared" si="246"/>
        <v>0</v>
      </c>
      <c r="DQ61" s="16"/>
      <c r="DR61" s="15"/>
      <c r="DS61" s="15">
        <f t="shared" si="247"/>
        <v>0</v>
      </c>
      <c r="DT61" s="15">
        <f t="shared" si="248"/>
        <v>0</v>
      </c>
      <c r="DU61" s="16"/>
      <c r="DV61" s="15"/>
      <c r="DW61" s="15"/>
      <c r="DX61" s="15">
        <f t="shared" si="249"/>
        <v>0</v>
      </c>
      <c r="DZ61" s="15">
        <f t="shared" si="250"/>
        <v>56</v>
      </c>
      <c r="EA61" s="15">
        <f t="shared" si="251"/>
        <v>27</v>
      </c>
    </row>
    <row r="62" spans="1:131" s="14" customFormat="1" x14ac:dyDescent="0.2">
      <c r="A62" s="15">
        <v>12</v>
      </c>
      <c r="B62" s="32" t="s">
        <v>83</v>
      </c>
      <c r="C62" s="15">
        <v>0</v>
      </c>
      <c r="D62" s="15">
        <v>1</v>
      </c>
      <c r="E62" s="16"/>
      <c r="F62" s="15">
        <v>22</v>
      </c>
      <c r="G62" s="15">
        <f t="shared" si="189"/>
        <v>0</v>
      </c>
      <c r="H62" s="15">
        <f t="shared" si="190"/>
        <v>132</v>
      </c>
      <c r="I62" s="16"/>
      <c r="J62" s="15">
        <v>19</v>
      </c>
      <c r="K62" s="15">
        <f t="shared" si="191"/>
        <v>0</v>
      </c>
      <c r="L62" s="15">
        <f t="shared" si="192"/>
        <v>114</v>
      </c>
      <c r="M62" s="16"/>
      <c r="N62" s="15">
        <v>18</v>
      </c>
      <c r="O62" s="15">
        <f t="shared" si="193"/>
        <v>0</v>
      </c>
      <c r="P62" s="15">
        <f t="shared" si="194"/>
        <v>108</v>
      </c>
      <c r="Q62" s="16"/>
      <c r="R62" s="15">
        <v>18</v>
      </c>
      <c r="S62" s="15">
        <f t="shared" si="195"/>
        <v>0</v>
      </c>
      <c r="T62" s="15">
        <f t="shared" si="196"/>
        <v>108</v>
      </c>
      <c r="U62" s="16"/>
      <c r="V62" s="15">
        <v>28</v>
      </c>
      <c r="W62" s="15">
        <f t="shared" si="197"/>
        <v>0</v>
      </c>
      <c r="X62" s="15">
        <f t="shared" si="198"/>
        <v>168</v>
      </c>
      <c r="Y62" s="16"/>
      <c r="Z62" s="15">
        <v>1</v>
      </c>
      <c r="AA62" s="15">
        <f t="shared" si="199"/>
        <v>0</v>
      </c>
      <c r="AB62" s="15">
        <f t="shared" si="200"/>
        <v>6</v>
      </c>
      <c r="AC62" s="16"/>
      <c r="AD62" s="15">
        <v>20</v>
      </c>
      <c r="AE62" s="15">
        <f t="shared" si="201"/>
        <v>0</v>
      </c>
      <c r="AF62" s="15">
        <f t="shared" si="202"/>
        <v>120</v>
      </c>
      <c r="AG62" s="16"/>
      <c r="AH62" s="15">
        <v>24</v>
      </c>
      <c r="AI62" s="15">
        <f t="shared" si="203"/>
        <v>0</v>
      </c>
      <c r="AJ62" s="15">
        <f t="shared" si="204"/>
        <v>144</v>
      </c>
      <c r="AK62" s="16"/>
      <c r="AL62" s="15">
        <v>17</v>
      </c>
      <c r="AM62" s="15">
        <f t="shared" si="205"/>
        <v>0</v>
      </c>
      <c r="AN62" s="15">
        <f t="shared" si="206"/>
        <v>102</v>
      </c>
      <c r="AO62" s="16"/>
      <c r="AP62" s="15">
        <v>16</v>
      </c>
      <c r="AQ62" s="15">
        <f t="shared" si="207"/>
        <v>0</v>
      </c>
      <c r="AR62" s="15">
        <f t="shared" si="208"/>
        <v>96</v>
      </c>
      <c r="AS62" s="16"/>
      <c r="AT62" s="15">
        <v>29</v>
      </c>
      <c r="AU62" s="15">
        <f t="shared" si="209"/>
        <v>0</v>
      </c>
      <c r="AV62" s="15">
        <f t="shared" si="210"/>
        <v>174</v>
      </c>
      <c r="AW62" s="16"/>
      <c r="AX62" s="15">
        <v>17</v>
      </c>
      <c r="AY62" s="15">
        <f t="shared" si="211"/>
        <v>0</v>
      </c>
      <c r="AZ62" s="15">
        <f t="shared" si="212"/>
        <v>102</v>
      </c>
      <c r="BA62" s="16"/>
      <c r="BB62" s="15">
        <v>22</v>
      </c>
      <c r="BC62" s="15">
        <f t="shared" si="213"/>
        <v>0</v>
      </c>
      <c r="BD62" s="15">
        <f t="shared" si="214"/>
        <v>132</v>
      </c>
      <c r="BE62" s="16"/>
      <c r="BF62" s="15">
        <v>19</v>
      </c>
      <c r="BG62" s="15">
        <f t="shared" si="215"/>
        <v>0</v>
      </c>
      <c r="BH62" s="15">
        <f t="shared" si="216"/>
        <v>114</v>
      </c>
      <c r="BI62" s="16"/>
      <c r="BJ62" s="15">
        <v>19</v>
      </c>
      <c r="BK62" s="15">
        <f t="shared" si="217"/>
        <v>0</v>
      </c>
      <c r="BL62" s="15">
        <f t="shared" si="218"/>
        <v>114</v>
      </c>
      <c r="BM62" s="16"/>
      <c r="BN62" s="15">
        <v>31</v>
      </c>
      <c r="BO62" s="15">
        <f t="shared" si="219"/>
        <v>0</v>
      </c>
      <c r="BP62" s="15">
        <f t="shared" si="220"/>
        <v>186</v>
      </c>
      <c r="BQ62" s="16"/>
      <c r="BR62" s="15">
        <v>21</v>
      </c>
      <c r="BS62" s="15">
        <f t="shared" si="221"/>
        <v>0</v>
      </c>
      <c r="BT62" s="15">
        <f t="shared" si="222"/>
        <v>126</v>
      </c>
      <c r="BU62" s="16"/>
      <c r="BV62" s="15">
        <v>37</v>
      </c>
      <c r="BW62" s="15">
        <f t="shared" si="223"/>
        <v>0</v>
      </c>
      <c r="BX62" s="15">
        <f t="shared" si="224"/>
        <v>222</v>
      </c>
      <c r="BY62" s="16"/>
      <c r="BZ62" s="15">
        <v>19</v>
      </c>
      <c r="CA62" s="15">
        <f t="shared" si="225"/>
        <v>0</v>
      </c>
      <c r="CB62" s="15">
        <f t="shared" si="226"/>
        <v>114</v>
      </c>
      <c r="CC62" s="16"/>
      <c r="CD62" s="15">
        <v>18</v>
      </c>
      <c r="CE62" s="15">
        <f t="shared" si="227"/>
        <v>0</v>
      </c>
      <c r="CF62" s="15">
        <f t="shared" si="228"/>
        <v>108</v>
      </c>
      <c r="CG62" s="16"/>
      <c r="CH62" s="15">
        <v>16</v>
      </c>
      <c r="CI62" s="15">
        <f t="shared" si="229"/>
        <v>0</v>
      </c>
      <c r="CJ62" s="15">
        <f t="shared" si="230"/>
        <v>96</v>
      </c>
      <c r="CK62" s="16"/>
      <c r="CL62" s="15">
        <v>12</v>
      </c>
      <c r="CM62" s="15">
        <f t="shared" si="231"/>
        <v>0</v>
      </c>
      <c r="CN62" s="15">
        <f t="shared" si="232"/>
        <v>72</v>
      </c>
      <c r="CO62" s="16"/>
      <c r="CP62" s="15">
        <v>21</v>
      </c>
      <c r="CQ62" s="15">
        <f t="shared" si="233"/>
        <v>0</v>
      </c>
      <c r="CR62" s="15">
        <f t="shared" si="234"/>
        <v>126</v>
      </c>
      <c r="CS62" s="16"/>
      <c r="CT62" s="15">
        <v>29</v>
      </c>
      <c r="CU62" s="15">
        <f t="shared" si="235"/>
        <v>0</v>
      </c>
      <c r="CV62" s="15">
        <f t="shared" si="236"/>
        <v>174</v>
      </c>
      <c r="CW62" s="16"/>
      <c r="CX62" s="15">
        <v>38</v>
      </c>
      <c r="CY62" s="15">
        <f t="shared" si="237"/>
        <v>0</v>
      </c>
      <c r="CZ62" s="15">
        <f t="shared" si="238"/>
        <v>228</v>
      </c>
      <c r="DA62" s="16"/>
      <c r="DB62" s="15">
        <v>31</v>
      </c>
      <c r="DC62" s="15">
        <f t="shared" si="239"/>
        <v>0</v>
      </c>
      <c r="DD62" s="15">
        <f t="shared" si="240"/>
        <v>186</v>
      </c>
      <c r="DE62" s="16"/>
      <c r="DF62" s="15">
        <v>20</v>
      </c>
      <c r="DG62" s="15">
        <f t="shared" si="241"/>
        <v>0</v>
      </c>
      <c r="DH62" s="15">
        <f t="shared" si="242"/>
        <v>120</v>
      </c>
      <c r="DI62" s="16"/>
      <c r="DJ62" s="15"/>
      <c r="DK62" s="15">
        <f t="shared" si="243"/>
        <v>0</v>
      </c>
      <c r="DL62" s="15">
        <f t="shared" si="244"/>
        <v>0</v>
      </c>
      <c r="DM62" s="16"/>
      <c r="DN62" s="15"/>
      <c r="DO62" s="15">
        <f t="shared" si="245"/>
        <v>0</v>
      </c>
      <c r="DP62" s="15">
        <f t="shared" si="246"/>
        <v>0</v>
      </c>
      <c r="DQ62" s="16"/>
      <c r="DR62" s="15"/>
      <c r="DS62" s="15">
        <f t="shared" si="247"/>
        <v>0</v>
      </c>
      <c r="DT62" s="15">
        <f t="shared" si="248"/>
        <v>0</v>
      </c>
      <c r="DU62" s="16"/>
      <c r="DV62" s="15"/>
      <c r="DW62" s="15"/>
      <c r="DX62" s="15">
        <f t="shared" si="249"/>
        <v>0</v>
      </c>
      <c r="DZ62" s="15">
        <f t="shared" si="250"/>
        <v>37</v>
      </c>
      <c r="EA62" s="15">
        <f t="shared" si="251"/>
        <v>1</v>
      </c>
    </row>
    <row r="63" spans="1:131" s="14" customFormat="1" x14ac:dyDescent="0.2">
      <c r="A63" s="15">
        <v>4</v>
      </c>
      <c r="B63" s="14" t="s">
        <v>84</v>
      </c>
      <c r="C63" s="15">
        <v>0</v>
      </c>
      <c r="D63" s="15">
        <v>1</v>
      </c>
      <c r="E63" s="16"/>
      <c r="F63" s="15">
        <v>50</v>
      </c>
      <c r="G63" s="15">
        <f t="shared" si="189"/>
        <v>0</v>
      </c>
      <c r="H63" s="15">
        <f t="shared" si="190"/>
        <v>300</v>
      </c>
      <c r="I63" s="16"/>
      <c r="J63" s="15">
        <v>49</v>
      </c>
      <c r="K63" s="15">
        <f t="shared" si="191"/>
        <v>0</v>
      </c>
      <c r="L63" s="15">
        <f t="shared" si="192"/>
        <v>294</v>
      </c>
      <c r="M63" s="16"/>
      <c r="N63" s="15">
        <v>51</v>
      </c>
      <c r="O63" s="15">
        <f t="shared" si="193"/>
        <v>0</v>
      </c>
      <c r="P63" s="15">
        <f t="shared" si="194"/>
        <v>306</v>
      </c>
      <c r="Q63" s="16"/>
      <c r="R63" s="15">
        <v>59</v>
      </c>
      <c r="S63" s="15">
        <f t="shared" si="195"/>
        <v>0</v>
      </c>
      <c r="T63" s="15">
        <f t="shared" si="196"/>
        <v>354</v>
      </c>
      <c r="U63" s="16"/>
      <c r="V63" s="15">
        <v>45</v>
      </c>
      <c r="W63" s="15">
        <f t="shared" si="197"/>
        <v>0</v>
      </c>
      <c r="X63" s="15">
        <f t="shared" si="198"/>
        <v>270</v>
      </c>
      <c r="Y63" s="16"/>
      <c r="Z63" s="15">
        <v>61</v>
      </c>
      <c r="AA63" s="15">
        <f t="shared" si="199"/>
        <v>0</v>
      </c>
      <c r="AB63" s="15">
        <f t="shared" si="200"/>
        <v>366</v>
      </c>
      <c r="AC63" s="16"/>
      <c r="AD63" s="15">
        <v>55</v>
      </c>
      <c r="AE63" s="15">
        <f t="shared" si="201"/>
        <v>0</v>
      </c>
      <c r="AF63" s="15">
        <f t="shared" si="202"/>
        <v>330</v>
      </c>
      <c r="AG63" s="16"/>
      <c r="AH63" s="15">
        <v>49</v>
      </c>
      <c r="AI63" s="15">
        <f t="shared" si="203"/>
        <v>0</v>
      </c>
      <c r="AJ63" s="15">
        <f t="shared" si="204"/>
        <v>294</v>
      </c>
      <c r="AK63" s="16"/>
      <c r="AL63" s="15">
        <v>53</v>
      </c>
      <c r="AM63" s="15">
        <f t="shared" si="205"/>
        <v>0</v>
      </c>
      <c r="AN63" s="15">
        <f t="shared" si="206"/>
        <v>318</v>
      </c>
      <c r="AO63" s="16"/>
      <c r="AP63" s="15">
        <v>43</v>
      </c>
      <c r="AQ63" s="15">
        <f t="shared" si="207"/>
        <v>0</v>
      </c>
      <c r="AR63" s="15">
        <f t="shared" si="208"/>
        <v>258</v>
      </c>
      <c r="AS63" s="16"/>
      <c r="AT63" s="15">
        <v>51</v>
      </c>
      <c r="AU63" s="15">
        <f t="shared" si="209"/>
        <v>0</v>
      </c>
      <c r="AV63" s="15">
        <f t="shared" si="210"/>
        <v>306</v>
      </c>
      <c r="AW63" s="16"/>
      <c r="AX63" s="15">
        <v>51</v>
      </c>
      <c r="AY63" s="15">
        <f t="shared" si="211"/>
        <v>0</v>
      </c>
      <c r="AZ63" s="15">
        <f t="shared" si="212"/>
        <v>306</v>
      </c>
      <c r="BA63" s="16"/>
      <c r="BB63" s="15">
        <v>50</v>
      </c>
      <c r="BC63" s="15">
        <f t="shared" si="213"/>
        <v>0</v>
      </c>
      <c r="BD63" s="15">
        <f t="shared" si="214"/>
        <v>300</v>
      </c>
      <c r="BE63" s="16"/>
      <c r="BF63" s="15">
        <v>46</v>
      </c>
      <c r="BG63" s="15">
        <f t="shared" si="215"/>
        <v>0</v>
      </c>
      <c r="BH63" s="15">
        <f t="shared" si="216"/>
        <v>276</v>
      </c>
      <c r="BI63" s="16"/>
      <c r="BJ63" s="15">
        <v>54</v>
      </c>
      <c r="BK63" s="15">
        <f t="shared" si="217"/>
        <v>0</v>
      </c>
      <c r="BL63" s="15">
        <f t="shared" si="218"/>
        <v>324</v>
      </c>
      <c r="BM63" s="16"/>
      <c r="BN63" s="15">
        <v>46</v>
      </c>
      <c r="BO63" s="15">
        <f t="shared" si="219"/>
        <v>0</v>
      </c>
      <c r="BP63" s="15">
        <f t="shared" si="220"/>
        <v>276</v>
      </c>
      <c r="BQ63" s="16"/>
      <c r="BR63" s="15">
        <v>53</v>
      </c>
      <c r="BS63" s="15">
        <f t="shared" si="221"/>
        <v>0</v>
      </c>
      <c r="BT63" s="15">
        <f t="shared" si="222"/>
        <v>318</v>
      </c>
      <c r="BU63" s="16"/>
      <c r="BV63" s="15">
        <v>57</v>
      </c>
      <c r="BW63" s="15">
        <f t="shared" si="223"/>
        <v>0</v>
      </c>
      <c r="BX63" s="15">
        <f t="shared" si="224"/>
        <v>342</v>
      </c>
      <c r="BY63" s="16"/>
      <c r="BZ63" s="15">
        <v>50</v>
      </c>
      <c r="CA63" s="15">
        <f t="shared" si="225"/>
        <v>0</v>
      </c>
      <c r="CB63" s="15">
        <f t="shared" si="226"/>
        <v>300</v>
      </c>
      <c r="CC63" s="16"/>
      <c r="CD63" s="15">
        <v>43</v>
      </c>
      <c r="CE63" s="15">
        <f t="shared" si="227"/>
        <v>0</v>
      </c>
      <c r="CF63" s="15">
        <f t="shared" si="228"/>
        <v>258</v>
      </c>
      <c r="CG63" s="16"/>
      <c r="CH63" s="15">
        <v>45</v>
      </c>
      <c r="CI63" s="15">
        <f t="shared" si="229"/>
        <v>0</v>
      </c>
      <c r="CJ63" s="15">
        <f t="shared" si="230"/>
        <v>270</v>
      </c>
      <c r="CK63" s="16"/>
      <c r="CL63" s="15">
        <v>54</v>
      </c>
      <c r="CM63" s="15">
        <f t="shared" si="231"/>
        <v>0</v>
      </c>
      <c r="CN63" s="15">
        <f t="shared" si="232"/>
        <v>324</v>
      </c>
      <c r="CO63" s="16"/>
      <c r="CP63" s="15">
        <v>51</v>
      </c>
      <c r="CQ63" s="15">
        <f t="shared" si="233"/>
        <v>0</v>
      </c>
      <c r="CR63" s="15">
        <f t="shared" si="234"/>
        <v>306</v>
      </c>
      <c r="CS63" s="16"/>
      <c r="CT63" s="15">
        <v>19</v>
      </c>
      <c r="CU63" s="15">
        <f t="shared" si="235"/>
        <v>0</v>
      </c>
      <c r="CV63" s="15">
        <f t="shared" si="236"/>
        <v>114</v>
      </c>
      <c r="CW63" s="16"/>
      <c r="CX63" s="15">
        <v>45</v>
      </c>
      <c r="CY63" s="15">
        <f t="shared" si="237"/>
        <v>0</v>
      </c>
      <c r="CZ63" s="15">
        <f t="shared" si="238"/>
        <v>270</v>
      </c>
      <c r="DA63" s="16"/>
      <c r="DB63" s="15">
        <v>56</v>
      </c>
      <c r="DC63" s="15">
        <f t="shared" si="239"/>
        <v>0</v>
      </c>
      <c r="DD63" s="15">
        <f t="shared" si="240"/>
        <v>336</v>
      </c>
      <c r="DE63" s="16"/>
      <c r="DF63" s="15">
        <v>49</v>
      </c>
      <c r="DG63" s="15">
        <f t="shared" si="241"/>
        <v>0</v>
      </c>
      <c r="DH63" s="15">
        <f t="shared" si="242"/>
        <v>294</v>
      </c>
      <c r="DI63" s="16"/>
      <c r="DJ63" s="15"/>
      <c r="DK63" s="15">
        <f t="shared" si="243"/>
        <v>0</v>
      </c>
      <c r="DL63" s="15">
        <f t="shared" si="244"/>
        <v>0</v>
      </c>
      <c r="DM63" s="16"/>
      <c r="DN63" s="15"/>
      <c r="DO63" s="15">
        <f t="shared" si="245"/>
        <v>0</v>
      </c>
      <c r="DP63" s="15">
        <f t="shared" si="246"/>
        <v>0</v>
      </c>
      <c r="DQ63" s="16"/>
      <c r="DR63" s="15"/>
      <c r="DS63" s="15">
        <f t="shared" si="247"/>
        <v>0</v>
      </c>
      <c r="DT63" s="15">
        <f t="shared" si="248"/>
        <v>0</v>
      </c>
      <c r="DU63" s="16"/>
      <c r="DV63" s="15"/>
      <c r="DW63" s="15"/>
      <c r="DX63" s="15">
        <f t="shared" si="249"/>
        <v>0</v>
      </c>
      <c r="DZ63" s="15">
        <f t="shared" si="250"/>
        <v>61</v>
      </c>
      <c r="EA63" s="15">
        <f t="shared" si="251"/>
        <v>43</v>
      </c>
    </row>
    <row r="64" spans="1:131" s="14" customFormat="1" x14ac:dyDescent="0.2">
      <c r="A64" s="15">
        <v>13</v>
      </c>
      <c r="B64" s="14" t="s">
        <v>85</v>
      </c>
      <c r="C64" s="15">
        <v>0</v>
      </c>
      <c r="D64" s="15">
        <v>1</v>
      </c>
      <c r="E64" s="16"/>
      <c r="F64" s="15">
        <v>12</v>
      </c>
      <c r="G64" s="15">
        <f t="shared" si="189"/>
        <v>0</v>
      </c>
      <c r="H64" s="15">
        <f t="shared" si="190"/>
        <v>72</v>
      </c>
      <c r="I64" s="16"/>
      <c r="J64" s="15">
        <v>20</v>
      </c>
      <c r="K64" s="15">
        <f t="shared" si="191"/>
        <v>0</v>
      </c>
      <c r="L64" s="15">
        <f t="shared" si="192"/>
        <v>120</v>
      </c>
      <c r="M64" s="16"/>
      <c r="N64" s="15">
        <v>13</v>
      </c>
      <c r="O64" s="15">
        <f t="shared" si="193"/>
        <v>0</v>
      </c>
      <c r="P64" s="15">
        <f t="shared" si="194"/>
        <v>78</v>
      </c>
      <c r="Q64" s="16"/>
      <c r="R64" s="15">
        <v>15</v>
      </c>
      <c r="S64" s="15">
        <f t="shared" si="195"/>
        <v>0</v>
      </c>
      <c r="T64" s="15">
        <f t="shared" si="196"/>
        <v>90</v>
      </c>
      <c r="U64" s="16"/>
      <c r="V64" s="15">
        <v>18</v>
      </c>
      <c r="W64" s="15">
        <f t="shared" si="197"/>
        <v>0</v>
      </c>
      <c r="X64" s="15">
        <f t="shared" si="198"/>
        <v>108</v>
      </c>
      <c r="Y64" s="16"/>
      <c r="Z64" s="15">
        <v>2</v>
      </c>
      <c r="AA64" s="15">
        <f t="shared" si="199"/>
        <v>0</v>
      </c>
      <c r="AB64" s="15">
        <f t="shared" si="200"/>
        <v>12</v>
      </c>
      <c r="AC64" s="16"/>
      <c r="AD64" s="15">
        <v>19</v>
      </c>
      <c r="AE64" s="15">
        <f t="shared" si="201"/>
        <v>0</v>
      </c>
      <c r="AF64" s="15">
        <f t="shared" si="202"/>
        <v>114</v>
      </c>
      <c r="AG64" s="16"/>
      <c r="AH64" s="15">
        <v>16</v>
      </c>
      <c r="AI64" s="15">
        <f t="shared" si="203"/>
        <v>0</v>
      </c>
      <c r="AJ64" s="15">
        <f t="shared" si="204"/>
        <v>96</v>
      </c>
      <c r="AK64" s="16"/>
      <c r="AL64" s="15">
        <v>12</v>
      </c>
      <c r="AM64" s="15">
        <f t="shared" si="205"/>
        <v>0</v>
      </c>
      <c r="AN64" s="15">
        <f t="shared" si="206"/>
        <v>72</v>
      </c>
      <c r="AO64" s="16"/>
      <c r="AP64" s="15">
        <v>17</v>
      </c>
      <c r="AQ64" s="15">
        <f t="shared" si="207"/>
        <v>0</v>
      </c>
      <c r="AR64" s="15">
        <f t="shared" si="208"/>
        <v>102</v>
      </c>
      <c r="AS64" s="16"/>
      <c r="AT64" s="15">
        <v>7</v>
      </c>
      <c r="AU64" s="15">
        <f t="shared" si="209"/>
        <v>0</v>
      </c>
      <c r="AV64" s="15">
        <f t="shared" si="210"/>
        <v>42</v>
      </c>
      <c r="AW64" s="16"/>
      <c r="AX64" s="15">
        <v>13</v>
      </c>
      <c r="AY64" s="15">
        <f t="shared" si="211"/>
        <v>0</v>
      </c>
      <c r="AZ64" s="15">
        <f t="shared" si="212"/>
        <v>78</v>
      </c>
      <c r="BA64" s="16"/>
      <c r="BB64" s="15">
        <v>18</v>
      </c>
      <c r="BC64" s="15">
        <f t="shared" si="213"/>
        <v>0</v>
      </c>
      <c r="BD64" s="15">
        <f t="shared" si="214"/>
        <v>108</v>
      </c>
      <c r="BE64" s="16"/>
      <c r="BF64" s="15">
        <v>17</v>
      </c>
      <c r="BG64" s="15">
        <f t="shared" si="215"/>
        <v>0</v>
      </c>
      <c r="BH64" s="15">
        <f t="shared" si="216"/>
        <v>102</v>
      </c>
      <c r="BI64" s="16"/>
      <c r="BJ64" s="15">
        <v>15</v>
      </c>
      <c r="BK64" s="15">
        <f t="shared" si="217"/>
        <v>0</v>
      </c>
      <c r="BL64" s="15">
        <f t="shared" si="218"/>
        <v>90</v>
      </c>
      <c r="BM64" s="16"/>
      <c r="BN64" s="15">
        <v>16</v>
      </c>
      <c r="BO64" s="15">
        <f t="shared" si="219"/>
        <v>0</v>
      </c>
      <c r="BP64" s="15">
        <f t="shared" si="220"/>
        <v>96</v>
      </c>
      <c r="BQ64" s="16"/>
      <c r="BR64" s="15">
        <v>61</v>
      </c>
      <c r="BS64" s="15">
        <f t="shared" si="221"/>
        <v>0</v>
      </c>
      <c r="BT64" s="15">
        <f t="shared" si="222"/>
        <v>366</v>
      </c>
      <c r="BU64" s="16"/>
      <c r="BV64" s="15">
        <v>28</v>
      </c>
      <c r="BW64" s="15">
        <f t="shared" si="223"/>
        <v>0</v>
      </c>
      <c r="BX64" s="15">
        <f t="shared" si="224"/>
        <v>168</v>
      </c>
      <c r="BY64" s="16"/>
      <c r="BZ64" s="15">
        <v>32</v>
      </c>
      <c r="CA64" s="15">
        <f t="shared" si="225"/>
        <v>0</v>
      </c>
      <c r="CB64" s="15">
        <f t="shared" si="226"/>
        <v>192</v>
      </c>
      <c r="CC64" s="16"/>
      <c r="CD64" s="15">
        <v>20</v>
      </c>
      <c r="CE64" s="15">
        <f t="shared" si="227"/>
        <v>0</v>
      </c>
      <c r="CF64" s="15">
        <f t="shared" si="228"/>
        <v>120</v>
      </c>
      <c r="CG64" s="16"/>
      <c r="CH64" s="15">
        <v>6</v>
      </c>
      <c r="CI64" s="15">
        <f t="shared" si="229"/>
        <v>0</v>
      </c>
      <c r="CJ64" s="15">
        <f t="shared" si="230"/>
        <v>36</v>
      </c>
      <c r="CK64" s="16"/>
      <c r="CL64" s="15">
        <v>13</v>
      </c>
      <c r="CM64" s="15">
        <f t="shared" si="231"/>
        <v>0</v>
      </c>
      <c r="CN64" s="15">
        <f t="shared" si="232"/>
        <v>78</v>
      </c>
      <c r="CO64" s="16"/>
      <c r="CP64" s="15">
        <v>17</v>
      </c>
      <c r="CQ64" s="15">
        <f t="shared" si="233"/>
        <v>0</v>
      </c>
      <c r="CR64" s="15">
        <f t="shared" si="234"/>
        <v>102</v>
      </c>
      <c r="CS64" s="16"/>
      <c r="CT64" s="15">
        <v>52</v>
      </c>
      <c r="CU64" s="15">
        <f t="shared" si="235"/>
        <v>0</v>
      </c>
      <c r="CV64" s="15">
        <f t="shared" si="236"/>
        <v>312</v>
      </c>
      <c r="CW64" s="16"/>
      <c r="CX64" s="15">
        <v>19</v>
      </c>
      <c r="CY64" s="15">
        <f t="shared" si="237"/>
        <v>0</v>
      </c>
      <c r="CZ64" s="15">
        <f t="shared" si="238"/>
        <v>114</v>
      </c>
      <c r="DA64" s="16"/>
      <c r="DB64" s="15">
        <v>12</v>
      </c>
      <c r="DC64" s="15">
        <f t="shared" si="239"/>
        <v>0</v>
      </c>
      <c r="DD64" s="15">
        <f t="shared" si="240"/>
        <v>72</v>
      </c>
      <c r="DE64" s="16"/>
      <c r="DF64" s="15">
        <v>16</v>
      </c>
      <c r="DG64" s="15">
        <f t="shared" si="241"/>
        <v>0</v>
      </c>
      <c r="DH64" s="15">
        <f t="shared" si="242"/>
        <v>96</v>
      </c>
      <c r="DI64" s="16"/>
      <c r="DJ64" s="15"/>
      <c r="DK64" s="15">
        <f t="shared" si="243"/>
        <v>0</v>
      </c>
      <c r="DL64" s="15">
        <f t="shared" si="244"/>
        <v>0</v>
      </c>
      <c r="DM64" s="16"/>
      <c r="DN64" s="15"/>
      <c r="DO64" s="15">
        <f t="shared" si="245"/>
        <v>0</v>
      </c>
      <c r="DP64" s="15">
        <f t="shared" si="246"/>
        <v>0</v>
      </c>
      <c r="DQ64" s="16"/>
      <c r="DR64" s="15"/>
      <c r="DS64" s="15">
        <f t="shared" si="247"/>
        <v>0</v>
      </c>
      <c r="DT64" s="15">
        <f t="shared" si="248"/>
        <v>0</v>
      </c>
      <c r="DU64" s="16"/>
      <c r="DV64" s="15"/>
      <c r="DW64" s="15"/>
      <c r="DX64" s="15">
        <f t="shared" si="249"/>
        <v>0</v>
      </c>
      <c r="DZ64" s="15">
        <f t="shared" si="250"/>
        <v>61</v>
      </c>
      <c r="EA64" s="15">
        <f t="shared" si="251"/>
        <v>2</v>
      </c>
    </row>
    <row r="65" spans="1:131" s="14" customFormat="1" x14ac:dyDescent="0.2">
      <c r="A65" s="15">
        <v>6</v>
      </c>
      <c r="B65" s="14" t="s">
        <v>86</v>
      </c>
      <c r="C65" s="15">
        <v>0</v>
      </c>
      <c r="D65" s="15">
        <v>1</v>
      </c>
      <c r="E65" s="16"/>
      <c r="F65" s="15">
        <v>37</v>
      </c>
      <c r="G65" s="15">
        <f t="shared" si="189"/>
        <v>0</v>
      </c>
      <c r="H65" s="15">
        <f t="shared" si="190"/>
        <v>222</v>
      </c>
      <c r="I65" s="16"/>
      <c r="J65" s="15">
        <v>46</v>
      </c>
      <c r="K65" s="15">
        <f t="shared" si="191"/>
        <v>0</v>
      </c>
      <c r="L65" s="15">
        <f t="shared" si="192"/>
        <v>276</v>
      </c>
      <c r="M65" s="16"/>
      <c r="N65" s="15">
        <v>46</v>
      </c>
      <c r="O65" s="15">
        <f t="shared" si="193"/>
        <v>0</v>
      </c>
      <c r="P65" s="15">
        <f t="shared" si="194"/>
        <v>276</v>
      </c>
      <c r="Q65" s="16"/>
      <c r="R65" s="15">
        <v>47</v>
      </c>
      <c r="S65" s="15">
        <f t="shared" si="195"/>
        <v>0</v>
      </c>
      <c r="T65" s="15">
        <f t="shared" si="196"/>
        <v>282</v>
      </c>
      <c r="U65" s="16"/>
      <c r="V65" s="15">
        <v>40</v>
      </c>
      <c r="W65" s="15">
        <f t="shared" si="197"/>
        <v>0</v>
      </c>
      <c r="X65" s="15">
        <f t="shared" si="198"/>
        <v>240</v>
      </c>
      <c r="Y65" s="16"/>
      <c r="Z65" s="15">
        <v>41</v>
      </c>
      <c r="AA65" s="15">
        <f t="shared" si="199"/>
        <v>0</v>
      </c>
      <c r="AB65" s="15">
        <f t="shared" si="200"/>
        <v>246</v>
      </c>
      <c r="AC65" s="16"/>
      <c r="AD65" s="15">
        <v>18</v>
      </c>
      <c r="AE65" s="15">
        <f t="shared" si="201"/>
        <v>0</v>
      </c>
      <c r="AF65" s="15">
        <f t="shared" si="202"/>
        <v>108</v>
      </c>
      <c r="AG65" s="16"/>
      <c r="AH65" s="15">
        <v>38</v>
      </c>
      <c r="AI65" s="15">
        <f t="shared" si="203"/>
        <v>0</v>
      </c>
      <c r="AJ65" s="15">
        <f t="shared" si="204"/>
        <v>228</v>
      </c>
      <c r="AK65" s="16"/>
      <c r="AL65" s="15">
        <v>47</v>
      </c>
      <c r="AM65" s="15">
        <f t="shared" si="205"/>
        <v>0</v>
      </c>
      <c r="AN65" s="15">
        <f t="shared" si="206"/>
        <v>282</v>
      </c>
      <c r="AO65" s="16"/>
      <c r="AP65" s="15">
        <v>45</v>
      </c>
      <c r="AQ65" s="15">
        <f t="shared" si="207"/>
        <v>0</v>
      </c>
      <c r="AR65" s="15">
        <f t="shared" si="208"/>
        <v>270</v>
      </c>
      <c r="AS65" s="16"/>
      <c r="AT65" s="15">
        <v>39</v>
      </c>
      <c r="AU65" s="15">
        <f t="shared" si="209"/>
        <v>0</v>
      </c>
      <c r="AV65" s="15">
        <f t="shared" si="210"/>
        <v>234</v>
      </c>
      <c r="AW65" s="16"/>
      <c r="AX65" s="15">
        <v>44</v>
      </c>
      <c r="AY65" s="15">
        <f t="shared" si="211"/>
        <v>0</v>
      </c>
      <c r="AZ65" s="15">
        <f t="shared" si="212"/>
        <v>264</v>
      </c>
      <c r="BA65" s="16"/>
      <c r="BB65" s="15">
        <v>29</v>
      </c>
      <c r="BC65" s="15">
        <f t="shared" si="213"/>
        <v>0</v>
      </c>
      <c r="BD65" s="15">
        <f t="shared" si="214"/>
        <v>174</v>
      </c>
      <c r="BE65" s="16"/>
      <c r="BF65" s="15">
        <v>45</v>
      </c>
      <c r="BG65" s="15">
        <f t="shared" si="215"/>
        <v>0</v>
      </c>
      <c r="BH65" s="15">
        <f t="shared" si="216"/>
        <v>270</v>
      </c>
      <c r="BI65" s="16"/>
      <c r="BJ65" s="15">
        <v>47</v>
      </c>
      <c r="BK65" s="15">
        <f t="shared" si="217"/>
        <v>0</v>
      </c>
      <c r="BL65" s="15">
        <f t="shared" si="218"/>
        <v>282</v>
      </c>
      <c r="BM65" s="16"/>
      <c r="BN65" s="15">
        <v>54</v>
      </c>
      <c r="BO65" s="15">
        <f t="shared" si="219"/>
        <v>0</v>
      </c>
      <c r="BP65" s="15">
        <f t="shared" si="220"/>
        <v>324</v>
      </c>
      <c r="BQ65" s="16"/>
      <c r="BR65" s="15">
        <v>38</v>
      </c>
      <c r="BS65" s="15">
        <f t="shared" si="221"/>
        <v>0</v>
      </c>
      <c r="BT65" s="15">
        <f t="shared" si="222"/>
        <v>228</v>
      </c>
      <c r="BU65" s="16"/>
      <c r="BV65" s="15">
        <v>36</v>
      </c>
      <c r="BW65" s="15">
        <f t="shared" si="223"/>
        <v>0</v>
      </c>
      <c r="BX65" s="15">
        <f t="shared" si="224"/>
        <v>216</v>
      </c>
      <c r="BY65" s="16"/>
      <c r="BZ65" s="15">
        <v>49</v>
      </c>
      <c r="CA65" s="15">
        <f t="shared" si="225"/>
        <v>0</v>
      </c>
      <c r="CB65" s="15">
        <f t="shared" si="226"/>
        <v>294</v>
      </c>
      <c r="CC65" s="16"/>
      <c r="CD65" s="15">
        <v>50</v>
      </c>
      <c r="CE65" s="15">
        <f t="shared" si="227"/>
        <v>0</v>
      </c>
      <c r="CF65" s="15">
        <f t="shared" si="228"/>
        <v>300</v>
      </c>
      <c r="CG65" s="16"/>
      <c r="CH65" s="15">
        <v>46</v>
      </c>
      <c r="CI65" s="15">
        <f t="shared" si="229"/>
        <v>0</v>
      </c>
      <c r="CJ65" s="15">
        <f t="shared" si="230"/>
        <v>276</v>
      </c>
      <c r="CK65" s="16"/>
      <c r="CL65" s="15">
        <v>47</v>
      </c>
      <c r="CM65" s="15">
        <f t="shared" si="231"/>
        <v>0</v>
      </c>
      <c r="CN65" s="15">
        <f t="shared" si="232"/>
        <v>282</v>
      </c>
      <c r="CO65" s="16"/>
      <c r="CP65" s="15">
        <v>46</v>
      </c>
      <c r="CQ65" s="15">
        <f t="shared" si="233"/>
        <v>0</v>
      </c>
      <c r="CR65" s="15">
        <f t="shared" si="234"/>
        <v>276</v>
      </c>
      <c r="CS65" s="16"/>
      <c r="CT65" s="15">
        <v>39</v>
      </c>
      <c r="CU65" s="15">
        <f t="shared" si="235"/>
        <v>0</v>
      </c>
      <c r="CV65" s="15">
        <f t="shared" si="236"/>
        <v>234</v>
      </c>
      <c r="CW65" s="16"/>
      <c r="CX65" s="15">
        <v>29</v>
      </c>
      <c r="CY65" s="15">
        <f t="shared" si="237"/>
        <v>0</v>
      </c>
      <c r="CZ65" s="15">
        <f t="shared" si="238"/>
        <v>174</v>
      </c>
      <c r="DA65" s="16"/>
      <c r="DB65" s="15">
        <v>57</v>
      </c>
      <c r="DC65" s="15">
        <f t="shared" si="239"/>
        <v>0</v>
      </c>
      <c r="DD65" s="15">
        <f t="shared" si="240"/>
        <v>342</v>
      </c>
      <c r="DE65" s="16"/>
      <c r="DF65" s="15">
        <v>41</v>
      </c>
      <c r="DG65" s="15">
        <f t="shared" si="241"/>
        <v>0</v>
      </c>
      <c r="DH65" s="15">
        <f t="shared" si="242"/>
        <v>246</v>
      </c>
      <c r="DI65" s="16"/>
      <c r="DJ65" s="15"/>
      <c r="DK65" s="15">
        <f t="shared" si="243"/>
        <v>0</v>
      </c>
      <c r="DL65" s="15">
        <f t="shared" si="244"/>
        <v>0</v>
      </c>
      <c r="DM65" s="16"/>
      <c r="DN65" s="15"/>
      <c r="DO65" s="15">
        <f t="shared" si="245"/>
        <v>0</v>
      </c>
      <c r="DP65" s="15">
        <f t="shared" si="246"/>
        <v>0</v>
      </c>
      <c r="DQ65" s="16"/>
      <c r="DR65" s="15"/>
      <c r="DS65" s="15">
        <f t="shared" si="247"/>
        <v>0</v>
      </c>
      <c r="DT65" s="15">
        <f t="shared" si="248"/>
        <v>0</v>
      </c>
      <c r="DU65" s="16"/>
      <c r="DV65" s="15"/>
      <c r="DW65" s="15"/>
      <c r="DX65" s="15">
        <f t="shared" si="249"/>
        <v>0</v>
      </c>
      <c r="DZ65" s="15">
        <f t="shared" si="250"/>
        <v>54</v>
      </c>
      <c r="EA65" s="15">
        <f t="shared" si="251"/>
        <v>18</v>
      </c>
    </row>
    <row r="66" spans="1:131" s="14" customFormat="1" x14ac:dyDescent="0.2">
      <c r="A66" s="15">
        <v>11</v>
      </c>
      <c r="B66" s="14" t="s">
        <v>87</v>
      </c>
      <c r="C66" s="15">
        <v>0</v>
      </c>
      <c r="D66" s="15">
        <v>1</v>
      </c>
      <c r="E66" s="16"/>
      <c r="F66" s="15">
        <v>47</v>
      </c>
      <c r="G66" s="15">
        <f t="shared" si="189"/>
        <v>0</v>
      </c>
      <c r="H66" s="15">
        <f t="shared" si="190"/>
        <v>282</v>
      </c>
      <c r="I66" s="16"/>
      <c r="J66" s="15">
        <v>25</v>
      </c>
      <c r="K66" s="15">
        <f t="shared" si="191"/>
        <v>0</v>
      </c>
      <c r="L66" s="15">
        <f t="shared" si="192"/>
        <v>150</v>
      </c>
      <c r="M66" s="16"/>
      <c r="N66" s="15">
        <v>22</v>
      </c>
      <c r="O66" s="15">
        <f t="shared" si="193"/>
        <v>0</v>
      </c>
      <c r="P66" s="15">
        <f t="shared" si="194"/>
        <v>132</v>
      </c>
      <c r="Q66" s="16"/>
      <c r="R66" s="15">
        <v>21</v>
      </c>
      <c r="S66" s="15">
        <f t="shared" si="195"/>
        <v>0</v>
      </c>
      <c r="T66" s="15">
        <f t="shared" si="196"/>
        <v>126</v>
      </c>
      <c r="U66" s="16"/>
      <c r="V66" s="15">
        <v>30</v>
      </c>
      <c r="W66" s="15">
        <f t="shared" si="197"/>
        <v>0</v>
      </c>
      <c r="X66" s="15">
        <f t="shared" si="198"/>
        <v>180</v>
      </c>
      <c r="Y66" s="16"/>
      <c r="Z66" s="15">
        <v>42</v>
      </c>
      <c r="AA66" s="15">
        <f t="shared" si="199"/>
        <v>0</v>
      </c>
      <c r="AB66" s="15">
        <f t="shared" si="200"/>
        <v>252</v>
      </c>
      <c r="AC66" s="16"/>
      <c r="AD66" s="15">
        <v>17</v>
      </c>
      <c r="AE66" s="15">
        <f t="shared" si="201"/>
        <v>0</v>
      </c>
      <c r="AF66" s="15">
        <f t="shared" si="202"/>
        <v>102</v>
      </c>
      <c r="AG66" s="16"/>
      <c r="AH66" s="15">
        <v>27</v>
      </c>
      <c r="AI66" s="15">
        <f t="shared" si="203"/>
        <v>0</v>
      </c>
      <c r="AJ66" s="15">
        <f t="shared" si="204"/>
        <v>162</v>
      </c>
      <c r="AK66" s="16"/>
      <c r="AL66" s="15">
        <v>19</v>
      </c>
      <c r="AM66" s="15">
        <f t="shared" si="205"/>
        <v>0</v>
      </c>
      <c r="AN66" s="15">
        <f t="shared" si="206"/>
        <v>114</v>
      </c>
      <c r="AO66" s="16"/>
      <c r="AP66" s="15">
        <v>27</v>
      </c>
      <c r="AQ66" s="15">
        <f t="shared" si="207"/>
        <v>0</v>
      </c>
      <c r="AR66" s="15">
        <f t="shared" si="208"/>
        <v>162</v>
      </c>
      <c r="AS66" s="16"/>
      <c r="AT66" s="15">
        <v>14</v>
      </c>
      <c r="AU66" s="15">
        <f t="shared" si="209"/>
        <v>0</v>
      </c>
      <c r="AV66" s="15">
        <f t="shared" si="210"/>
        <v>84</v>
      </c>
      <c r="AW66" s="16"/>
      <c r="AX66" s="15">
        <v>20</v>
      </c>
      <c r="AY66" s="15">
        <f t="shared" si="211"/>
        <v>0</v>
      </c>
      <c r="AZ66" s="15">
        <f t="shared" si="212"/>
        <v>120</v>
      </c>
      <c r="BA66" s="16"/>
      <c r="BB66" s="15">
        <v>25</v>
      </c>
      <c r="BC66" s="15">
        <f t="shared" si="213"/>
        <v>0</v>
      </c>
      <c r="BD66" s="15">
        <f t="shared" si="214"/>
        <v>150</v>
      </c>
      <c r="BE66" s="16"/>
      <c r="BF66" s="15">
        <v>21</v>
      </c>
      <c r="BG66" s="15">
        <f t="shared" si="215"/>
        <v>0</v>
      </c>
      <c r="BH66" s="15">
        <f t="shared" si="216"/>
        <v>126</v>
      </c>
      <c r="BI66" s="16"/>
      <c r="BJ66" s="15">
        <v>21</v>
      </c>
      <c r="BK66" s="15">
        <f t="shared" si="217"/>
        <v>0</v>
      </c>
      <c r="BL66" s="15">
        <f t="shared" si="218"/>
        <v>126</v>
      </c>
      <c r="BM66" s="16"/>
      <c r="BN66" s="15">
        <v>20</v>
      </c>
      <c r="BO66" s="15">
        <f t="shared" si="219"/>
        <v>0</v>
      </c>
      <c r="BP66" s="15">
        <f t="shared" si="220"/>
        <v>120</v>
      </c>
      <c r="BQ66" s="16"/>
      <c r="BR66" s="15">
        <v>23</v>
      </c>
      <c r="BS66" s="15">
        <f t="shared" si="221"/>
        <v>0</v>
      </c>
      <c r="BT66" s="15">
        <f t="shared" si="222"/>
        <v>138</v>
      </c>
      <c r="BU66" s="16"/>
      <c r="BV66" s="15">
        <v>29</v>
      </c>
      <c r="BW66" s="15">
        <f t="shared" si="223"/>
        <v>0</v>
      </c>
      <c r="BX66" s="15">
        <f t="shared" si="224"/>
        <v>174</v>
      </c>
      <c r="BY66" s="16"/>
      <c r="BZ66" s="15">
        <v>12</v>
      </c>
      <c r="CA66" s="15">
        <f t="shared" si="225"/>
        <v>0</v>
      </c>
      <c r="CB66" s="15">
        <f t="shared" si="226"/>
        <v>72</v>
      </c>
      <c r="CC66" s="16"/>
      <c r="CD66" s="15">
        <v>23</v>
      </c>
      <c r="CE66" s="15">
        <f t="shared" si="227"/>
        <v>0</v>
      </c>
      <c r="CF66" s="15">
        <f t="shared" si="228"/>
        <v>138</v>
      </c>
      <c r="CG66" s="16"/>
      <c r="CH66" s="15">
        <v>1</v>
      </c>
      <c r="CI66" s="15">
        <f t="shared" si="229"/>
        <v>0</v>
      </c>
      <c r="CJ66" s="15">
        <f t="shared" si="230"/>
        <v>6</v>
      </c>
      <c r="CK66" s="16"/>
      <c r="CL66" s="15">
        <v>8</v>
      </c>
      <c r="CM66" s="15">
        <f t="shared" si="231"/>
        <v>0</v>
      </c>
      <c r="CN66" s="15">
        <f t="shared" si="232"/>
        <v>48</v>
      </c>
      <c r="CO66" s="16"/>
      <c r="CP66" s="15">
        <v>29</v>
      </c>
      <c r="CQ66" s="15">
        <f t="shared" si="233"/>
        <v>0</v>
      </c>
      <c r="CR66" s="15">
        <f t="shared" si="234"/>
        <v>174</v>
      </c>
      <c r="CS66" s="16"/>
      <c r="CT66" s="15">
        <v>26</v>
      </c>
      <c r="CU66" s="15">
        <f t="shared" si="235"/>
        <v>0</v>
      </c>
      <c r="CV66" s="15">
        <f t="shared" si="236"/>
        <v>156</v>
      </c>
      <c r="CW66" s="16"/>
      <c r="CX66" s="15">
        <v>39</v>
      </c>
      <c r="CY66" s="15">
        <f t="shared" si="237"/>
        <v>0</v>
      </c>
      <c r="CZ66" s="15">
        <f t="shared" si="238"/>
        <v>234</v>
      </c>
      <c r="DA66" s="16"/>
      <c r="DB66" s="15">
        <v>24</v>
      </c>
      <c r="DC66" s="15">
        <f t="shared" si="239"/>
        <v>0</v>
      </c>
      <c r="DD66" s="15">
        <f t="shared" si="240"/>
        <v>144</v>
      </c>
      <c r="DE66" s="16"/>
      <c r="DF66" s="15">
        <v>24</v>
      </c>
      <c r="DG66" s="15">
        <f t="shared" si="241"/>
        <v>0</v>
      </c>
      <c r="DH66" s="15">
        <f t="shared" si="242"/>
        <v>144</v>
      </c>
      <c r="DI66" s="16"/>
      <c r="DJ66" s="15"/>
      <c r="DK66" s="15">
        <f t="shared" si="243"/>
        <v>0</v>
      </c>
      <c r="DL66" s="15">
        <f t="shared" si="244"/>
        <v>0</v>
      </c>
      <c r="DM66" s="16"/>
      <c r="DN66" s="15"/>
      <c r="DO66" s="15">
        <f t="shared" si="245"/>
        <v>0</v>
      </c>
      <c r="DP66" s="15">
        <f t="shared" si="246"/>
        <v>0</v>
      </c>
      <c r="DQ66" s="16"/>
      <c r="DR66" s="15"/>
      <c r="DS66" s="15">
        <f t="shared" si="247"/>
        <v>0</v>
      </c>
      <c r="DT66" s="15">
        <f t="shared" si="248"/>
        <v>0</v>
      </c>
      <c r="DU66" s="16"/>
      <c r="DV66" s="15"/>
      <c r="DW66" s="15"/>
      <c r="DX66" s="15">
        <f t="shared" si="249"/>
        <v>0</v>
      </c>
      <c r="DZ66" s="15">
        <f t="shared" si="250"/>
        <v>47</v>
      </c>
      <c r="EA66" s="15">
        <f t="shared" si="251"/>
        <v>1</v>
      </c>
    </row>
    <row r="67" spans="1:131" s="14" customFormat="1" x14ac:dyDescent="0.2">
      <c r="A67" s="15">
        <v>3</v>
      </c>
      <c r="B67" s="14" t="s">
        <v>88</v>
      </c>
      <c r="C67" s="15">
        <v>0</v>
      </c>
      <c r="D67" s="15">
        <v>1</v>
      </c>
      <c r="E67" s="16"/>
      <c r="F67" s="15">
        <v>55</v>
      </c>
      <c r="G67" s="15">
        <f t="shared" si="189"/>
        <v>0</v>
      </c>
      <c r="H67" s="15">
        <f t="shared" si="190"/>
        <v>330</v>
      </c>
      <c r="I67" s="16"/>
      <c r="J67" s="15">
        <v>54</v>
      </c>
      <c r="K67" s="15">
        <f t="shared" si="191"/>
        <v>0</v>
      </c>
      <c r="L67" s="15">
        <f t="shared" si="192"/>
        <v>324</v>
      </c>
      <c r="M67" s="16"/>
      <c r="N67" s="15">
        <v>53</v>
      </c>
      <c r="O67" s="15">
        <f t="shared" si="193"/>
        <v>0</v>
      </c>
      <c r="P67" s="15">
        <f t="shared" si="194"/>
        <v>318</v>
      </c>
      <c r="Q67" s="16"/>
      <c r="R67" s="15">
        <v>37</v>
      </c>
      <c r="S67" s="15">
        <f t="shared" si="195"/>
        <v>0</v>
      </c>
      <c r="T67" s="15">
        <f t="shared" si="196"/>
        <v>222</v>
      </c>
      <c r="U67" s="16"/>
      <c r="V67" s="15">
        <v>52</v>
      </c>
      <c r="W67" s="15">
        <f t="shared" si="197"/>
        <v>0</v>
      </c>
      <c r="X67" s="15">
        <f t="shared" si="198"/>
        <v>312</v>
      </c>
      <c r="Y67" s="16"/>
      <c r="Z67" s="15">
        <v>62</v>
      </c>
      <c r="AA67" s="15">
        <f t="shared" si="199"/>
        <v>0</v>
      </c>
      <c r="AB67" s="15">
        <f t="shared" si="200"/>
        <v>372</v>
      </c>
      <c r="AC67" s="16"/>
      <c r="AD67" s="15">
        <v>42</v>
      </c>
      <c r="AE67" s="15">
        <f t="shared" si="201"/>
        <v>0</v>
      </c>
      <c r="AF67" s="15">
        <f t="shared" si="202"/>
        <v>252</v>
      </c>
      <c r="AG67" s="16"/>
      <c r="AH67" s="15">
        <v>57</v>
      </c>
      <c r="AI67" s="15">
        <f t="shared" si="203"/>
        <v>0</v>
      </c>
      <c r="AJ67" s="15">
        <f t="shared" si="204"/>
        <v>342</v>
      </c>
      <c r="AK67" s="16"/>
      <c r="AL67" s="15">
        <v>54</v>
      </c>
      <c r="AM67" s="15">
        <f t="shared" si="205"/>
        <v>0</v>
      </c>
      <c r="AN67" s="15">
        <f t="shared" si="206"/>
        <v>324</v>
      </c>
      <c r="AO67" s="16"/>
      <c r="AP67" s="15">
        <v>51</v>
      </c>
      <c r="AQ67" s="15">
        <f t="shared" si="207"/>
        <v>0</v>
      </c>
      <c r="AR67" s="15">
        <f t="shared" si="208"/>
        <v>306</v>
      </c>
      <c r="AS67" s="16"/>
      <c r="AT67" s="15">
        <v>52</v>
      </c>
      <c r="AU67" s="15">
        <f t="shared" si="209"/>
        <v>0</v>
      </c>
      <c r="AV67" s="15">
        <f t="shared" si="210"/>
        <v>312</v>
      </c>
      <c r="AW67" s="16"/>
      <c r="AX67" s="15">
        <v>55</v>
      </c>
      <c r="AY67" s="15">
        <f t="shared" si="211"/>
        <v>0</v>
      </c>
      <c r="AZ67" s="15">
        <f t="shared" si="212"/>
        <v>330</v>
      </c>
      <c r="BA67" s="16"/>
      <c r="BB67" s="15">
        <v>52</v>
      </c>
      <c r="BC67" s="15">
        <f t="shared" si="213"/>
        <v>0</v>
      </c>
      <c r="BD67" s="15">
        <f t="shared" si="214"/>
        <v>312</v>
      </c>
      <c r="BE67" s="16"/>
      <c r="BF67" s="15">
        <v>49</v>
      </c>
      <c r="BG67" s="15">
        <f t="shared" si="215"/>
        <v>0</v>
      </c>
      <c r="BH67" s="15">
        <f t="shared" si="216"/>
        <v>294</v>
      </c>
      <c r="BI67" s="16"/>
      <c r="BJ67" s="15">
        <v>53</v>
      </c>
      <c r="BK67" s="15">
        <f t="shared" si="217"/>
        <v>0</v>
      </c>
      <c r="BL67" s="15">
        <f t="shared" si="218"/>
        <v>318</v>
      </c>
      <c r="BM67" s="16"/>
      <c r="BN67" s="15">
        <v>48</v>
      </c>
      <c r="BO67" s="15">
        <f t="shared" si="219"/>
        <v>0</v>
      </c>
      <c r="BP67" s="15">
        <f t="shared" si="220"/>
        <v>288</v>
      </c>
      <c r="BQ67" s="16"/>
      <c r="BR67" s="15">
        <v>43</v>
      </c>
      <c r="BS67" s="15">
        <f t="shared" si="221"/>
        <v>0</v>
      </c>
      <c r="BT67" s="15">
        <f t="shared" si="222"/>
        <v>258</v>
      </c>
      <c r="BU67" s="16"/>
      <c r="BV67" s="15">
        <v>61</v>
      </c>
      <c r="BW67" s="15">
        <f t="shared" si="223"/>
        <v>0</v>
      </c>
      <c r="BX67" s="15">
        <f t="shared" si="224"/>
        <v>366</v>
      </c>
      <c r="BY67" s="16"/>
      <c r="BZ67" s="15">
        <v>47</v>
      </c>
      <c r="CA67" s="15">
        <f t="shared" si="225"/>
        <v>0</v>
      </c>
      <c r="CB67" s="15">
        <f t="shared" si="226"/>
        <v>282</v>
      </c>
      <c r="CC67" s="16"/>
      <c r="CD67" s="15">
        <v>54</v>
      </c>
      <c r="CE67" s="15">
        <f t="shared" si="227"/>
        <v>0</v>
      </c>
      <c r="CF67" s="15">
        <f t="shared" si="228"/>
        <v>324</v>
      </c>
      <c r="CG67" s="16"/>
      <c r="CH67" s="15">
        <v>47</v>
      </c>
      <c r="CI67" s="15">
        <f t="shared" si="229"/>
        <v>0</v>
      </c>
      <c r="CJ67" s="15">
        <f t="shared" si="230"/>
        <v>282</v>
      </c>
      <c r="CK67" s="16"/>
      <c r="CL67" s="15">
        <v>52</v>
      </c>
      <c r="CM67" s="15">
        <f t="shared" si="231"/>
        <v>0</v>
      </c>
      <c r="CN67" s="15">
        <f t="shared" si="232"/>
        <v>312</v>
      </c>
      <c r="CO67" s="16"/>
      <c r="CP67" s="15">
        <v>50</v>
      </c>
      <c r="CQ67" s="15">
        <f t="shared" si="233"/>
        <v>0</v>
      </c>
      <c r="CR67" s="15">
        <f t="shared" si="234"/>
        <v>300</v>
      </c>
      <c r="CS67" s="16"/>
      <c r="CT67" s="15">
        <v>50</v>
      </c>
      <c r="CU67" s="15">
        <f t="shared" si="235"/>
        <v>0</v>
      </c>
      <c r="CV67" s="15">
        <f t="shared" si="236"/>
        <v>300</v>
      </c>
      <c r="CW67" s="16"/>
      <c r="CX67" s="15">
        <v>56</v>
      </c>
      <c r="CY67" s="15">
        <f t="shared" si="237"/>
        <v>0</v>
      </c>
      <c r="CZ67" s="15">
        <f t="shared" si="238"/>
        <v>336</v>
      </c>
      <c r="DA67" s="16"/>
      <c r="DB67" s="15">
        <v>45</v>
      </c>
      <c r="DC67" s="15">
        <f t="shared" si="239"/>
        <v>0</v>
      </c>
      <c r="DD67" s="15">
        <f t="shared" si="240"/>
        <v>270</v>
      </c>
      <c r="DE67" s="16"/>
      <c r="DF67" s="15">
        <v>53</v>
      </c>
      <c r="DG67" s="15">
        <f t="shared" si="241"/>
        <v>0</v>
      </c>
      <c r="DH67" s="15">
        <f t="shared" si="242"/>
        <v>318</v>
      </c>
      <c r="DI67" s="16"/>
      <c r="DJ67" s="15"/>
      <c r="DK67" s="15">
        <f t="shared" si="243"/>
        <v>0</v>
      </c>
      <c r="DL67" s="15">
        <f t="shared" si="244"/>
        <v>0</v>
      </c>
      <c r="DM67" s="16"/>
      <c r="DN67" s="15"/>
      <c r="DO67" s="15">
        <f t="shared" si="245"/>
        <v>0</v>
      </c>
      <c r="DP67" s="15">
        <f t="shared" si="246"/>
        <v>0</v>
      </c>
      <c r="DQ67" s="16"/>
      <c r="DR67" s="15"/>
      <c r="DS67" s="15">
        <f t="shared" si="247"/>
        <v>0</v>
      </c>
      <c r="DT67" s="15">
        <f t="shared" si="248"/>
        <v>0</v>
      </c>
      <c r="DU67" s="16"/>
      <c r="DV67" s="15"/>
      <c r="DW67" s="15"/>
      <c r="DX67" s="15">
        <f t="shared" si="249"/>
        <v>0</v>
      </c>
      <c r="DZ67" s="15">
        <f t="shared" si="250"/>
        <v>62</v>
      </c>
      <c r="EA67" s="15">
        <f t="shared" si="251"/>
        <v>37</v>
      </c>
    </row>
    <row r="68" spans="1:131" s="14" customFormat="1" x14ac:dyDescent="0.2">
      <c r="A68" s="15">
        <v>14</v>
      </c>
      <c r="B68" s="14" t="s">
        <v>89</v>
      </c>
      <c r="C68" s="15">
        <v>0</v>
      </c>
      <c r="D68" s="15">
        <v>1</v>
      </c>
      <c r="E68" s="16"/>
      <c r="F68" s="15">
        <v>16</v>
      </c>
      <c r="G68" s="15">
        <f t="shared" si="189"/>
        <v>0</v>
      </c>
      <c r="H68" s="15">
        <f t="shared" si="190"/>
        <v>96</v>
      </c>
      <c r="I68" s="16"/>
      <c r="J68" s="15">
        <v>10</v>
      </c>
      <c r="K68" s="15">
        <f t="shared" si="191"/>
        <v>0</v>
      </c>
      <c r="L68" s="15">
        <f t="shared" si="192"/>
        <v>60</v>
      </c>
      <c r="M68" s="16"/>
      <c r="N68" s="15">
        <v>11</v>
      </c>
      <c r="O68" s="15">
        <f t="shared" si="193"/>
        <v>0</v>
      </c>
      <c r="P68" s="15">
        <f t="shared" si="194"/>
        <v>66</v>
      </c>
      <c r="Q68" s="16"/>
      <c r="R68" s="15">
        <v>2</v>
      </c>
      <c r="S68" s="15">
        <f t="shared" si="195"/>
        <v>0</v>
      </c>
      <c r="T68" s="15">
        <f t="shared" si="196"/>
        <v>12</v>
      </c>
      <c r="U68" s="16"/>
      <c r="V68" s="15">
        <v>12</v>
      </c>
      <c r="W68" s="15">
        <f t="shared" si="197"/>
        <v>0</v>
      </c>
      <c r="X68" s="15">
        <f t="shared" si="198"/>
        <v>72</v>
      </c>
      <c r="Y68" s="16"/>
      <c r="Z68" s="15">
        <v>29</v>
      </c>
      <c r="AA68" s="15">
        <f t="shared" si="199"/>
        <v>0</v>
      </c>
      <c r="AB68" s="15">
        <f t="shared" si="200"/>
        <v>174</v>
      </c>
      <c r="AC68" s="16"/>
      <c r="AD68" s="15">
        <v>9</v>
      </c>
      <c r="AE68" s="15">
        <f t="shared" si="201"/>
        <v>0</v>
      </c>
      <c r="AF68" s="15">
        <f t="shared" si="202"/>
        <v>54</v>
      </c>
      <c r="AG68" s="16"/>
      <c r="AH68" s="15">
        <v>9</v>
      </c>
      <c r="AI68" s="15">
        <f t="shared" si="203"/>
        <v>0</v>
      </c>
      <c r="AJ68" s="15">
        <f t="shared" si="204"/>
        <v>54</v>
      </c>
      <c r="AK68" s="16"/>
      <c r="AL68" s="15">
        <v>11</v>
      </c>
      <c r="AM68" s="15">
        <f t="shared" si="205"/>
        <v>0</v>
      </c>
      <c r="AN68" s="15">
        <f t="shared" si="206"/>
        <v>66</v>
      </c>
      <c r="AO68" s="16"/>
      <c r="AP68" s="15">
        <v>9</v>
      </c>
      <c r="AQ68" s="15">
        <f t="shared" si="207"/>
        <v>0</v>
      </c>
      <c r="AR68" s="15">
        <f t="shared" si="208"/>
        <v>54</v>
      </c>
      <c r="AS68" s="16"/>
      <c r="AT68" s="15">
        <v>4</v>
      </c>
      <c r="AU68" s="15">
        <f t="shared" si="209"/>
        <v>0</v>
      </c>
      <c r="AV68" s="15">
        <f t="shared" si="210"/>
        <v>24</v>
      </c>
      <c r="AW68" s="16"/>
      <c r="AX68" s="15">
        <v>12</v>
      </c>
      <c r="AY68" s="15">
        <f t="shared" si="211"/>
        <v>0</v>
      </c>
      <c r="AZ68" s="15">
        <f t="shared" si="212"/>
        <v>72</v>
      </c>
      <c r="BA68" s="16"/>
      <c r="BB68" s="15">
        <v>15</v>
      </c>
      <c r="BC68" s="15">
        <f t="shared" si="213"/>
        <v>0</v>
      </c>
      <c r="BD68" s="15">
        <f t="shared" si="214"/>
        <v>90</v>
      </c>
      <c r="BE68" s="16"/>
      <c r="BF68" s="15">
        <v>11</v>
      </c>
      <c r="BG68" s="15">
        <f t="shared" si="215"/>
        <v>0</v>
      </c>
      <c r="BH68" s="15">
        <f t="shared" si="216"/>
        <v>66</v>
      </c>
      <c r="BI68" s="16"/>
      <c r="BJ68" s="15">
        <v>12</v>
      </c>
      <c r="BK68" s="15">
        <f t="shared" si="217"/>
        <v>0</v>
      </c>
      <c r="BL68" s="15">
        <f t="shared" si="218"/>
        <v>72</v>
      </c>
      <c r="BM68" s="16"/>
      <c r="BN68" s="15">
        <v>10</v>
      </c>
      <c r="BO68" s="15">
        <f t="shared" si="219"/>
        <v>0</v>
      </c>
      <c r="BP68" s="15">
        <f t="shared" si="220"/>
        <v>60</v>
      </c>
      <c r="BQ68" s="16"/>
      <c r="BR68" s="15">
        <v>2</v>
      </c>
      <c r="BS68" s="15">
        <f t="shared" si="221"/>
        <v>0</v>
      </c>
      <c r="BT68" s="15">
        <f t="shared" si="222"/>
        <v>12</v>
      </c>
      <c r="BU68" s="16"/>
      <c r="BV68" s="15">
        <v>30</v>
      </c>
      <c r="BW68" s="15">
        <f t="shared" si="223"/>
        <v>0</v>
      </c>
      <c r="BX68" s="15">
        <f t="shared" si="224"/>
        <v>180</v>
      </c>
      <c r="BY68" s="16"/>
      <c r="BZ68" s="15">
        <v>3</v>
      </c>
      <c r="CA68" s="15">
        <f t="shared" si="225"/>
        <v>0</v>
      </c>
      <c r="CB68" s="15">
        <f t="shared" si="226"/>
        <v>18</v>
      </c>
      <c r="CC68" s="16"/>
      <c r="CD68" s="15">
        <v>12</v>
      </c>
      <c r="CE68" s="15">
        <f t="shared" si="227"/>
        <v>0</v>
      </c>
      <c r="CF68" s="15">
        <f t="shared" si="228"/>
        <v>72</v>
      </c>
      <c r="CG68" s="16"/>
      <c r="CH68" s="15">
        <v>7</v>
      </c>
      <c r="CI68" s="15">
        <f t="shared" si="229"/>
        <v>0</v>
      </c>
      <c r="CJ68" s="15">
        <f t="shared" si="230"/>
        <v>42</v>
      </c>
      <c r="CK68" s="16"/>
      <c r="CL68" s="15">
        <v>11</v>
      </c>
      <c r="CM68" s="15">
        <f t="shared" si="231"/>
        <v>0</v>
      </c>
      <c r="CN68" s="15">
        <f t="shared" si="232"/>
        <v>66</v>
      </c>
      <c r="CO68" s="16"/>
      <c r="CP68" s="15">
        <v>13</v>
      </c>
      <c r="CQ68" s="15">
        <f t="shared" si="233"/>
        <v>0</v>
      </c>
      <c r="CR68" s="15">
        <f t="shared" si="234"/>
        <v>78</v>
      </c>
      <c r="CS68" s="16"/>
      <c r="CT68" s="15">
        <v>14</v>
      </c>
      <c r="CU68" s="15">
        <f t="shared" si="235"/>
        <v>0</v>
      </c>
      <c r="CV68" s="15">
        <f t="shared" si="236"/>
        <v>84</v>
      </c>
      <c r="CW68" s="16"/>
      <c r="CX68" s="15">
        <v>14</v>
      </c>
      <c r="CY68" s="15">
        <f t="shared" si="237"/>
        <v>0</v>
      </c>
      <c r="CZ68" s="15">
        <f t="shared" si="238"/>
        <v>84</v>
      </c>
      <c r="DA68" s="16"/>
      <c r="DB68" s="15">
        <v>11</v>
      </c>
      <c r="DC68" s="15">
        <f t="shared" si="239"/>
        <v>0</v>
      </c>
      <c r="DD68" s="15">
        <f t="shared" si="240"/>
        <v>66</v>
      </c>
      <c r="DE68" s="16"/>
      <c r="DF68" s="15">
        <v>12</v>
      </c>
      <c r="DG68" s="15">
        <f t="shared" si="241"/>
        <v>0</v>
      </c>
      <c r="DH68" s="15">
        <f t="shared" si="242"/>
        <v>72</v>
      </c>
      <c r="DI68" s="16"/>
      <c r="DJ68" s="15"/>
      <c r="DK68" s="15">
        <f t="shared" si="243"/>
        <v>0</v>
      </c>
      <c r="DL68" s="15">
        <f t="shared" si="244"/>
        <v>0</v>
      </c>
      <c r="DM68" s="16"/>
      <c r="DN68" s="15"/>
      <c r="DO68" s="15">
        <f t="shared" si="245"/>
        <v>0</v>
      </c>
      <c r="DP68" s="15">
        <f t="shared" si="246"/>
        <v>0</v>
      </c>
      <c r="DQ68" s="16"/>
      <c r="DR68" s="15"/>
      <c r="DS68" s="15">
        <f t="shared" si="247"/>
        <v>0</v>
      </c>
      <c r="DT68" s="15">
        <f t="shared" si="248"/>
        <v>0</v>
      </c>
      <c r="DU68" s="16"/>
      <c r="DV68" s="15"/>
      <c r="DW68" s="15"/>
      <c r="DX68" s="15">
        <f t="shared" si="249"/>
        <v>0</v>
      </c>
      <c r="DZ68" s="15">
        <f t="shared" si="250"/>
        <v>30</v>
      </c>
      <c r="EA68" s="15">
        <f t="shared" si="251"/>
        <v>2</v>
      </c>
    </row>
    <row r="69" spans="1:131" s="14" customFormat="1" x14ac:dyDescent="0.2">
      <c r="A69" s="15">
        <v>7</v>
      </c>
      <c r="B69" s="14" t="s">
        <v>90</v>
      </c>
      <c r="C69" s="15">
        <v>0</v>
      </c>
      <c r="D69" s="15">
        <v>1</v>
      </c>
      <c r="E69" s="16"/>
      <c r="F69" s="15">
        <v>28</v>
      </c>
      <c r="G69" s="15">
        <f t="shared" si="189"/>
        <v>0</v>
      </c>
      <c r="H69" s="15">
        <f t="shared" si="190"/>
        <v>168</v>
      </c>
      <c r="I69" s="16"/>
      <c r="J69" s="15">
        <v>44</v>
      </c>
      <c r="K69" s="15">
        <f t="shared" si="191"/>
        <v>0</v>
      </c>
      <c r="L69" s="15">
        <f t="shared" si="192"/>
        <v>264</v>
      </c>
      <c r="M69" s="16"/>
      <c r="N69" s="15">
        <v>42</v>
      </c>
      <c r="O69" s="15">
        <f t="shared" si="193"/>
        <v>0</v>
      </c>
      <c r="P69" s="15">
        <f t="shared" si="194"/>
        <v>252</v>
      </c>
      <c r="Q69" s="16"/>
      <c r="R69" s="15">
        <v>48</v>
      </c>
      <c r="S69" s="15">
        <f t="shared" si="195"/>
        <v>0</v>
      </c>
      <c r="T69" s="15">
        <f t="shared" si="196"/>
        <v>288</v>
      </c>
      <c r="U69" s="16"/>
      <c r="V69" s="15">
        <v>34</v>
      </c>
      <c r="W69" s="15">
        <f t="shared" si="197"/>
        <v>0</v>
      </c>
      <c r="X69" s="15">
        <f t="shared" si="198"/>
        <v>204</v>
      </c>
      <c r="Y69" s="16"/>
      <c r="Z69" s="15">
        <v>44</v>
      </c>
      <c r="AA69" s="15">
        <f t="shared" si="199"/>
        <v>0</v>
      </c>
      <c r="AB69" s="15">
        <f t="shared" si="200"/>
        <v>264</v>
      </c>
      <c r="AC69" s="16"/>
      <c r="AD69" s="15">
        <v>29</v>
      </c>
      <c r="AE69" s="15">
        <f t="shared" si="201"/>
        <v>0</v>
      </c>
      <c r="AF69" s="15">
        <f t="shared" si="202"/>
        <v>174</v>
      </c>
      <c r="AG69" s="16"/>
      <c r="AH69" s="15">
        <v>33</v>
      </c>
      <c r="AI69" s="15">
        <f t="shared" si="203"/>
        <v>0</v>
      </c>
      <c r="AJ69" s="15">
        <f t="shared" si="204"/>
        <v>198</v>
      </c>
      <c r="AK69" s="16"/>
      <c r="AL69" s="15">
        <v>44</v>
      </c>
      <c r="AM69" s="15">
        <f t="shared" si="205"/>
        <v>0</v>
      </c>
      <c r="AN69" s="15">
        <f t="shared" si="206"/>
        <v>264</v>
      </c>
      <c r="AO69" s="16"/>
      <c r="AP69" s="15">
        <v>40</v>
      </c>
      <c r="AQ69" s="15">
        <f t="shared" si="207"/>
        <v>0</v>
      </c>
      <c r="AR69" s="15">
        <f t="shared" si="208"/>
        <v>240</v>
      </c>
      <c r="AS69" s="16"/>
      <c r="AT69" s="15">
        <v>40</v>
      </c>
      <c r="AU69" s="15">
        <f t="shared" si="209"/>
        <v>0</v>
      </c>
      <c r="AV69" s="15">
        <f t="shared" si="210"/>
        <v>240</v>
      </c>
      <c r="AW69" s="16"/>
      <c r="AX69" s="15">
        <v>43</v>
      </c>
      <c r="AY69" s="15">
        <f t="shared" si="211"/>
        <v>0</v>
      </c>
      <c r="AZ69" s="15">
        <f t="shared" si="212"/>
        <v>258</v>
      </c>
      <c r="BA69" s="16"/>
      <c r="BB69" s="15">
        <v>40</v>
      </c>
      <c r="BC69" s="15">
        <f t="shared" si="213"/>
        <v>0</v>
      </c>
      <c r="BD69" s="15">
        <f t="shared" si="214"/>
        <v>240</v>
      </c>
      <c r="BE69" s="16"/>
      <c r="BF69" s="15">
        <v>38</v>
      </c>
      <c r="BG69" s="15">
        <f t="shared" si="215"/>
        <v>0</v>
      </c>
      <c r="BH69" s="15">
        <f t="shared" si="216"/>
        <v>228</v>
      </c>
      <c r="BI69" s="16"/>
      <c r="BJ69" s="15">
        <v>39</v>
      </c>
      <c r="BK69" s="15">
        <f t="shared" si="217"/>
        <v>0</v>
      </c>
      <c r="BL69" s="15">
        <f t="shared" si="218"/>
        <v>234</v>
      </c>
      <c r="BM69" s="16"/>
      <c r="BN69" s="15">
        <v>44</v>
      </c>
      <c r="BO69" s="15">
        <f t="shared" si="219"/>
        <v>0</v>
      </c>
      <c r="BP69" s="15">
        <f t="shared" si="220"/>
        <v>264</v>
      </c>
      <c r="BQ69" s="16"/>
      <c r="BR69" s="15">
        <v>60</v>
      </c>
      <c r="BS69" s="15">
        <f t="shared" si="221"/>
        <v>0</v>
      </c>
      <c r="BT69" s="15">
        <f t="shared" si="222"/>
        <v>360</v>
      </c>
      <c r="BU69" s="16"/>
      <c r="BV69" s="15">
        <v>31</v>
      </c>
      <c r="BW69" s="15">
        <f t="shared" si="223"/>
        <v>0</v>
      </c>
      <c r="BX69" s="15">
        <f t="shared" si="224"/>
        <v>186</v>
      </c>
      <c r="BY69" s="16"/>
      <c r="BZ69" s="15">
        <v>38</v>
      </c>
      <c r="CA69" s="15">
        <f t="shared" si="225"/>
        <v>0</v>
      </c>
      <c r="CB69" s="15">
        <f t="shared" si="226"/>
        <v>228</v>
      </c>
      <c r="CC69" s="16"/>
      <c r="CD69" s="15">
        <v>36</v>
      </c>
      <c r="CE69" s="15">
        <f t="shared" si="227"/>
        <v>0</v>
      </c>
      <c r="CF69" s="15">
        <f t="shared" si="228"/>
        <v>216</v>
      </c>
      <c r="CG69" s="16"/>
      <c r="CH69" s="15">
        <v>50</v>
      </c>
      <c r="CI69" s="15">
        <f t="shared" si="229"/>
        <v>0</v>
      </c>
      <c r="CJ69" s="15">
        <f t="shared" si="230"/>
        <v>300</v>
      </c>
      <c r="CK69" s="16"/>
      <c r="CL69" s="15">
        <v>25</v>
      </c>
      <c r="CM69" s="15">
        <f t="shared" si="231"/>
        <v>0</v>
      </c>
      <c r="CN69" s="15">
        <f t="shared" si="232"/>
        <v>150</v>
      </c>
      <c r="CO69" s="16"/>
      <c r="CP69" s="15">
        <v>41</v>
      </c>
      <c r="CQ69" s="15">
        <f t="shared" si="233"/>
        <v>0</v>
      </c>
      <c r="CR69" s="15">
        <f t="shared" si="234"/>
        <v>246</v>
      </c>
      <c r="CS69" s="16"/>
      <c r="CT69" s="15">
        <v>18</v>
      </c>
      <c r="CU69" s="15">
        <f t="shared" si="235"/>
        <v>0</v>
      </c>
      <c r="CV69" s="15">
        <f t="shared" si="236"/>
        <v>108</v>
      </c>
      <c r="CW69" s="16"/>
      <c r="CX69" s="15">
        <v>24</v>
      </c>
      <c r="CY69" s="15">
        <f t="shared" si="237"/>
        <v>0</v>
      </c>
      <c r="CZ69" s="15">
        <f t="shared" si="238"/>
        <v>144</v>
      </c>
      <c r="DA69" s="16"/>
      <c r="DB69" s="15">
        <v>38</v>
      </c>
      <c r="DC69" s="15">
        <f t="shared" si="239"/>
        <v>0</v>
      </c>
      <c r="DD69" s="15">
        <f t="shared" si="240"/>
        <v>228</v>
      </c>
      <c r="DE69" s="16"/>
      <c r="DF69" s="15">
        <v>37</v>
      </c>
      <c r="DG69" s="15">
        <f t="shared" si="241"/>
        <v>0</v>
      </c>
      <c r="DH69" s="15">
        <f t="shared" si="242"/>
        <v>222</v>
      </c>
      <c r="DI69" s="16"/>
      <c r="DJ69" s="15"/>
      <c r="DK69" s="15">
        <f t="shared" si="243"/>
        <v>0</v>
      </c>
      <c r="DL69" s="15">
        <f t="shared" si="244"/>
        <v>0</v>
      </c>
      <c r="DM69" s="16"/>
      <c r="DN69" s="15"/>
      <c r="DO69" s="15">
        <f t="shared" si="245"/>
        <v>0</v>
      </c>
      <c r="DP69" s="15">
        <f t="shared" si="246"/>
        <v>0</v>
      </c>
      <c r="DQ69" s="16"/>
      <c r="DR69" s="15"/>
      <c r="DS69" s="15">
        <f t="shared" si="247"/>
        <v>0</v>
      </c>
      <c r="DT69" s="15">
        <f t="shared" si="248"/>
        <v>0</v>
      </c>
      <c r="DU69" s="16"/>
      <c r="DV69" s="15"/>
      <c r="DW69" s="15"/>
      <c r="DX69" s="15">
        <f t="shared" si="249"/>
        <v>0</v>
      </c>
      <c r="DZ69" s="15">
        <f t="shared" si="250"/>
        <v>60</v>
      </c>
      <c r="EA69" s="15">
        <f t="shared" si="251"/>
        <v>25</v>
      </c>
    </row>
    <row r="70" spans="1:131" s="14" customFormat="1" x14ac:dyDescent="0.2">
      <c r="A70" s="15">
        <v>10</v>
      </c>
      <c r="B70" s="14" t="s">
        <v>91</v>
      </c>
      <c r="C70" s="15">
        <v>0</v>
      </c>
      <c r="D70" s="15">
        <v>1</v>
      </c>
      <c r="E70" s="16"/>
      <c r="F70" s="15">
        <v>36</v>
      </c>
      <c r="G70" s="15">
        <f t="shared" si="189"/>
        <v>0</v>
      </c>
      <c r="H70" s="15">
        <f t="shared" si="190"/>
        <v>216</v>
      </c>
      <c r="I70" s="16"/>
      <c r="J70" s="15">
        <v>16</v>
      </c>
      <c r="K70" s="15">
        <f t="shared" si="191"/>
        <v>0</v>
      </c>
      <c r="L70" s="15">
        <f t="shared" si="192"/>
        <v>96</v>
      </c>
      <c r="M70" s="16"/>
      <c r="N70" s="15">
        <v>21</v>
      </c>
      <c r="O70" s="15">
        <f t="shared" si="193"/>
        <v>0</v>
      </c>
      <c r="P70" s="15">
        <f t="shared" si="194"/>
        <v>126</v>
      </c>
      <c r="Q70" s="16"/>
      <c r="R70" s="15">
        <v>24</v>
      </c>
      <c r="S70" s="15">
        <f t="shared" si="195"/>
        <v>0</v>
      </c>
      <c r="T70" s="15">
        <f t="shared" si="196"/>
        <v>144</v>
      </c>
      <c r="U70" s="16"/>
      <c r="V70" s="15">
        <v>35</v>
      </c>
      <c r="W70" s="15">
        <f t="shared" si="197"/>
        <v>0</v>
      </c>
      <c r="X70" s="15">
        <f t="shared" si="198"/>
        <v>210</v>
      </c>
      <c r="Y70" s="16"/>
      <c r="Z70" s="15">
        <v>3</v>
      </c>
      <c r="AA70" s="15">
        <f t="shared" si="199"/>
        <v>0</v>
      </c>
      <c r="AB70" s="15">
        <f t="shared" si="200"/>
        <v>18</v>
      </c>
      <c r="AC70" s="16"/>
      <c r="AD70" s="15">
        <v>30</v>
      </c>
      <c r="AE70" s="15">
        <f t="shared" si="201"/>
        <v>0</v>
      </c>
      <c r="AF70" s="15">
        <f t="shared" si="202"/>
        <v>180</v>
      </c>
      <c r="AG70" s="16"/>
      <c r="AH70" s="15">
        <v>37</v>
      </c>
      <c r="AI70" s="15">
        <f t="shared" si="203"/>
        <v>0</v>
      </c>
      <c r="AJ70" s="15">
        <f t="shared" si="204"/>
        <v>222</v>
      </c>
      <c r="AK70" s="16"/>
      <c r="AL70" s="15">
        <v>20</v>
      </c>
      <c r="AM70" s="15">
        <f t="shared" si="205"/>
        <v>0</v>
      </c>
      <c r="AN70" s="15">
        <f t="shared" si="206"/>
        <v>120</v>
      </c>
      <c r="AO70" s="16"/>
      <c r="AP70" s="15">
        <v>29</v>
      </c>
      <c r="AQ70" s="15">
        <f t="shared" si="207"/>
        <v>0</v>
      </c>
      <c r="AR70" s="15">
        <f t="shared" si="208"/>
        <v>174</v>
      </c>
      <c r="AS70" s="16"/>
      <c r="AT70" s="15">
        <v>30</v>
      </c>
      <c r="AU70" s="15">
        <f t="shared" si="209"/>
        <v>0</v>
      </c>
      <c r="AV70" s="15">
        <f t="shared" si="210"/>
        <v>180</v>
      </c>
      <c r="AW70" s="16"/>
      <c r="AX70" s="15">
        <v>31</v>
      </c>
      <c r="AY70" s="15">
        <f t="shared" si="211"/>
        <v>0</v>
      </c>
      <c r="AZ70" s="15">
        <f t="shared" si="212"/>
        <v>186</v>
      </c>
      <c r="BA70" s="16"/>
      <c r="BB70" s="15">
        <v>35</v>
      </c>
      <c r="BC70" s="15">
        <f t="shared" si="213"/>
        <v>0</v>
      </c>
      <c r="BD70" s="15">
        <f t="shared" si="214"/>
        <v>210</v>
      </c>
      <c r="BE70" s="16"/>
      <c r="BF70" s="15">
        <v>31</v>
      </c>
      <c r="BG70" s="15">
        <f t="shared" si="215"/>
        <v>0</v>
      </c>
      <c r="BH70" s="15">
        <f t="shared" si="216"/>
        <v>186</v>
      </c>
      <c r="BI70" s="16"/>
      <c r="BJ70" s="15">
        <v>24</v>
      </c>
      <c r="BK70" s="15">
        <f t="shared" si="217"/>
        <v>0</v>
      </c>
      <c r="BL70" s="15">
        <f t="shared" si="218"/>
        <v>144</v>
      </c>
      <c r="BM70" s="16"/>
      <c r="BN70" s="15">
        <v>25</v>
      </c>
      <c r="BO70" s="15">
        <f t="shared" si="219"/>
        <v>0</v>
      </c>
      <c r="BP70" s="15">
        <f t="shared" si="220"/>
        <v>150</v>
      </c>
      <c r="BQ70" s="16"/>
      <c r="BR70" s="15">
        <v>20</v>
      </c>
      <c r="BS70" s="15">
        <f t="shared" si="221"/>
        <v>0</v>
      </c>
      <c r="BT70" s="15">
        <f t="shared" si="222"/>
        <v>120</v>
      </c>
      <c r="BU70" s="16"/>
      <c r="BV70" s="15">
        <v>35</v>
      </c>
      <c r="BW70" s="15">
        <f t="shared" si="223"/>
        <v>0</v>
      </c>
      <c r="BX70" s="15">
        <f t="shared" si="224"/>
        <v>210</v>
      </c>
      <c r="BY70" s="16"/>
      <c r="BZ70" s="15">
        <v>18</v>
      </c>
      <c r="CA70" s="15">
        <f t="shared" si="225"/>
        <v>0</v>
      </c>
      <c r="CB70" s="15">
        <f t="shared" si="226"/>
        <v>108</v>
      </c>
      <c r="CC70" s="16"/>
      <c r="CD70" s="15">
        <v>28</v>
      </c>
      <c r="CE70" s="15">
        <f t="shared" si="227"/>
        <v>0</v>
      </c>
      <c r="CF70" s="15">
        <f t="shared" si="228"/>
        <v>168</v>
      </c>
      <c r="CG70" s="16"/>
      <c r="CH70" s="15">
        <v>29</v>
      </c>
      <c r="CI70" s="15">
        <f t="shared" si="229"/>
        <v>0</v>
      </c>
      <c r="CJ70" s="15">
        <f t="shared" si="230"/>
        <v>174</v>
      </c>
      <c r="CK70" s="16"/>
      <c r="CL70" s="15">
        <v>37</v>
      </c>
      <c r="CM70" s="15">
        <f t="shared" si="231"/>
        <v>0</v>
      </c>
      <c r="CN70" s="15">
        <f t="shared" si="232"/>
        <v>222</v>
      </c>
      <c r="CO70" s="16"/>
      <c r="CP70" s="15">
        <v>28</v>
      </c>
      <c r="CQ70" s="15">
        <f t="shared" si="233"/>
        <v>0</v>
      </c>
      <c r="CR70" s="15">
        <f t="shared" si="234"/>
        <v>168</v>
      </c>
      <c r="CS70" s="16"/>
      <c r="CT70" s="15">
        <v>46</v>
      </c>
      <c r="CU70" s="15">
        <f t="shared" si="235"/>
        <v>0</v>
      </c>
      <c r="CV70" s="15">
        <f t="shared" si="236"/>
        <v>276</v>
      </c>
      <c r="CW70" s="16"/>
      <c r="CX70" s="15">
        <v>33</v>
      </c>
      <c r="CY70" s="15">
        <f t="shared" si="237"/>
        <v>0</v>
      </c>
      <c r="CZ70" s="15">
        <f t="shared" si="238"/>
        <v>198</v>
      </c>
      <c r="DA70" s="16"/>
      <c r="DB70" s="15">
        <v>21</v>
      </c>
      <c r="DC70" s="15">
        <f t="shared" si="239"/>
        <v>0</v>
      </c>
      <c r="DD70" s="15">
        <f t="shared" si="240"/>
        <v>126</v>
      </c>
      <c r="DE70" s="16"/>
      <c r="DF70" s="15">
        <v>28</v>
      </c>
      <c r="DG70" s="15">
        <f t="shared" si="241"/>
        <v>0</v>
      </c>
      <c r="DH70" s="15">
        <f t="shared" si="242"/>
        <v>168</v>
      </c>
      <c r="DI70" s="16"/>
      <c r="DJ70" s="15"/>
      <c r="DK70" s="15">
        <f t="shared" si="243"/>
        <v>0</v>
      </c>
      <c r="DL70" s="15">
        <f t="shared" si="244"/>
        <v>0</v>
      </c>
      <c r="DM70" s="16"/>
      <c r="DN70" s="15"/>
      <c r="DO70" s="15">
        <f t="shared" si="245"/>
        <v>0</v>
      </c>
      <c r="DP70" s="15">
        <f t="shared" si="246"/>
        <v>0</v>
      </c>
      <c r="DQ70" s="16"/>
      <c r="DR70" s="15"/>
      <c r="DS70" s="15">
        <f t="shared" si="247"/>
        <v>0</v>
      </c>
      <c r="DT70" s="15">
        <f t="shared" si="248"/>
        <v>0</v>
      </c>
      <c r="DU70" s="16"/>
      <c r="DV70" s="15"/>
      <c r="DW70" s="15"/>
      <c r="DX70" s="15">
        <f t="shared" si="249"/>
        <v>0</v>
      </c>
      <c r="DZ70" s="15">
        <f t="shared" si="250"/>
        <v>37</v>
      </c>
      <c r="EA70" s="15">
        <f t="shared" si="251"/>
        <v>3</v>
      </c>
    </row>
    <row r="71" spans="1:131" s="14" customFormat="1" x14ac:dyDescent="0.2">
      <c r="A71" s="15">
        <v>2</v>
      </c>
      <c r="B71" s="14" t="s">
        <v>92</v>
      </c>
      <c r="C71" s="15">
        <v>0</v>
      </c>
      <c r="D71" s="15">
        <v>1</v>
      </c>
      <c r="E71" s="16"/>
      <c r="F71" s="15">
        <v>58</v>
      </c>
      <c r="G71" s="15">
        <f t="shared" si="189"/>
        <v>0</v>
      </c>
      <c r="H71" s="15">
        <f t="shared" si="190"/>
        <v>348</v>
      </c>
      <c r="I71" s="16"/>
      <c r="J71" s="15">
        <v>58</v>
      </c>
      <c r="K71" s="15">
        <f t="shared" si="191"/>
        <v>0</v>
      </c>
      <c r="L71" s="15">
        <f t="shared" si="192"/>
        <v>348</v>
      </c>
      <c r="M71" s="16"/>
      <c r="N71" s="15">
        <v>59</v>
      </c>
      <c r="O71" s="15">
        <f t="shared" si="193"/>
        <v>0</v>
      </c>
      <c r="P71" s="15">
        <f t="shared" si="194"/>
        <v>354</v>
      </c>
      <c r="Q71" s="16"/>
      <c r="R71" s="15">
        <v>57</v>
      </c>
      <c r="S71" s="15">
        <f t="shared" si="195"/>
        <v>0</v>
      </c>
      <c r="T71" s="15">
        <f t="shared" si="196"/>
        <v>342</v>
      </c>
      <c r="U71" s="16"/>
      <c r="V71" s="15">
        <v>61</v>
      </c>
      <c r="W71" s="15">
        <f t="shared" si="197"/>
        <v>0</v>
      </c>
      <c r="X71" s="15">
        <f t="shared" si="198"/>
        <v>366</v>
      </c>
      <c r="Y71" s="16"/>
      <c r="Z71" s="15">
        <v>59</v>
      </c>
      <c r="AA71" s="15">
        <f t="shared" si="199"/>
        <v>0</v>
      </c>
      <c r="AB71" s="15">
        <f t="shared" si="200"/>
        <v>354</v>
      </c>
      <c r="AC71" s="16"/>
      <c r="AD71" s="15">
        <v>57</v>
      </c>
      <c r="AE71" s="15">
        <f t="shared" si="201"/>
        <v>0</v>
      </c>
      <c r="AF71" s="15">
        <f t="shared" si="202"/>
        <v>342</v>
      </c>
      <c r="AG71" s="16"/>
      <c r="AH71" s="15">
        <v>55</v>
      </c>
      <c r="AI71" s="15">
        <f t="shared" si="203"/>
        <v>0</v>
      </c>
      <c r="AJ71" s="15">
        <f t="shared" si="204"/>
        <v>330</v>
      </c>
      <c r="AK71" s="16"/>
      <c r="AL71" s="15">
        <v>57</v>
      </c>
      <c r="AM71" s="15">
        <f t="shared" si="205"/>
        <v>0</v>
      </c>
      <c r="AN71" s="15">
        <f t="shared" si="206"/>
        <v>342</v>
      </c>
      <c r="AO71" s="16"/>
      <c r="AP71" s="15">
        <v>59</v>
      </c>
      <c r="AQ71" s="15">
        <f t="shared" si="207"/>
        <v>0</v>
      </c>
      <c r="AR71" s="15">
        <f t="shared" si="208"/>
        <v>354</v>
      </c>
      <c r="AS71" s="16"/>
      <c r="AT71" s="15">
        <v>55</v>
      </c>
      <c r="AU71" s="15">
        <f t="shared" si="209"/>
        <v>0</v>
      </c>
      <c r="AV71" s="15">
        <f t="shared" si="210"/>
        <v>330</v>
      </c>
      <c r="AW71" s="16"/>
      <c r="AX71" s="15">
        <v>61</v>
      </c>
      <c r="AY71" s="15">
        <f t="shared" si="211"/>
        <v>0</v>
      </c>
      <c r="AZ71" s="15">
        <f t="shared" si="212"/>
        <v>366</v>
      </c>
      <c r="BA71" s="16"/>
      <c r="BB71" s="15">
        <v>63</v>
      </c>
      <c r="BC71" s="15">
        <f t="shared" si="213"/>
        <v>0</v>
      </c>
      <c r="BD71" s="15">
        <f t="shared" si="214"/>
        <v>378</v>
      </c>
      <c r="BE71" s="16"/>
      <c r="BF71" s="15">
        <v>59</v>
      </c>
      <c r="BG71" s="15">
        <f t="shared" si="215"/>
        <v>0</v>
      </c>
      <c r="BH71" s="15">
        <f t="shared" si="216"/>
        <v>354</v>
      </c>
      <c r="BI71" s="16"/>
      <c r="BJ71" s="15">
        <v>52</v>
      </c>
      <c r="BK71" s="15">
        <f t="shared" si="217"/>
        <v>0</v>
      </c>
      <c r="BL71" s="15">
        <f t="shared" si="218"/>
        <v>312</v>
      </c>
      <c r="BM71" s="16"/>
      <c r="BN71" s="15">
        <v>59</v>
      </c>
      <c r="BO71" s="15">
        <f t="shared" si="219"/>
        <v>0</v>
      </c>
      <c r="BP71" s="15">
        <f t="shared" si="220"/>
        <v>354</v>
      </c>
      <c r="BQ71" s="16"/>
      <c r="BR71" s="15">
        <v>31</v>
      </c>
      <c r="BS71" s="15">
        <f t="shared" si="221"/>
        <v>0</v>
      </c>
      <c r="BT71" s="15">
        <f t="shared" si="222"/>
        <v>186</v>
      </c>
      <c r="BU71" s="16"/>
      <c r="BV71" s="15">
        <v>52</v>
      </c>
      <c r="BW71" s="15">
        <f t="shared" si="223"/>
        <v>0</v>
      </c>
      <c r="BX71" s="15">
        <f t="shared" si="224"/>
        <v>312</v>
      </c>
      <c r="BY71" s="16"/>
      <c r="BZ71" s="15">
        <v>46</v>
      </c>
      <c r="CA71" s="15">
        <f t="shared" si="225"/>
        <v>0</v>
      </c>
      <c r="CB71" s="15">
        <f t="shared" si="226"/>
        <v>276</v>
      </c>
      <c r="CC71" s="16"/>
      <c r="CD71" s="15">
        <v>61</v>
      </c>
      <c r="CE71" s="15">
        <f t="shared" si="227"/>
        <v>0</v>
      </c>
      <c r="CF71" s="15">
        <f t="shared" si="228"/>
        <v>366</v>
      </c>
      <c r="CG71" s="16"/>
      <c r="CH71" s="15">
        <v>61</v>
      </c>
      <c r="CI71" s="15">
        <f t="shared" si="229"/>
        <v>0</v>
      </c>
      <c r="CJ71" s="15">
        <f t="shared" si="230"/>
        <v>366</v>
      </c>
      <c r="CK71" s="16"/>
      <c r="CL71" s="15">
        <v>58</v>
      </c>
      <c r="CM71" s="15">
        <f t="shared" si="231"/>
        <v>0</v>
      </c>
      <c r="CN71" s="15">
        <f t="shared" si="232"/>
        <v>348</v>
      </c>
      <c r="CO71" s="16"/>
      <c r="CP71" s="15">
        <v>3</v>
      </c>
      <c r="CQ71" s="15">
        <f t="shared" si="233"/>
        <v>0</v>
      </c>
      <c r="CR71" s="15">
        <f t="shared" si="234"/>
        <v>18</v>
      </c>
      <c r="CS71" s="16"/>
      <c r="CT71" s="15">
        <v>57</v>
      </c>
      <c r="CU71" s="15">
        <f t="shared" si="235"/>
        <v>0</v>
      </c>
      <c r="CV71" s="15">
        <f t="shared" si="236"/>
        <v>342</v>
      </c>
      <c r="CW71" s="16"/>
      <c r="CX71" s="15">
        <v>60</v>
      </c>
      <c r="CY71" s="15">
        <f t="shared" si="237"/>
        <v>0</v>
      </c>
      <c r="CZ71" s="15">
        <f t="shared" si="238"/>
        <v>360</v>
      </c>
      <c r="DA71" s="16"/>
      <c r="DB71" s="15">
        <v>53</v>
      </c>
      <c r="DC71" s="15">
        <f t="shared" si="239"/>
        <v>0</v>
      </c>
      <c r="DD71" s="15">
        <f t="shared" si="240"/>
        <v>318</v>
      </c>
      <c r="DE71" s="16"/>
      <c r="DF71" s="15">
        <v>57</v>
      </c>
      <c r="DG71" s="15">
        <f t="shared" si="241"/>
        <v>0</v>
      </c>
      <c r="DH71" s="15">
        <f t="shared" si="242"/>
        <v>342</v>
      </c>
      <c r="DI71" s="16"/>
      <c r="DJ71" s="15"/>
      <c r="DK71" s="15">
        <f t="shared" si="243"/>
        <v>0</v>
      </c>
      <c r="DL71" s="15">
        <f t="shared" si="244"/>
        <v>0</v>
      </c>
      <c r="DM71" s="16"/>
      <c r="DN71" s="15"/>
      <c r="DO71" s="15">
        <f t="shared" si="245"/>
        <v>0</v>
      </c>
      <c r="DP71" s="15">
        <f t="shared" si="246"/>
        <v>0</v>
      </c>
      <c r="DQ71" s="16"/>
      <c r="DR71" s="15"/>
      <c r="DS71" s="15">
        <f t="shared" si="247"/>
        <v>0</v>
      </c>
      <c r="DT71" s="15">
        <f t="shared" si="248"/>
        <v>0</v>
      </c>
      <c r="DU71" s="16"/>
      <c r="DV71" s="15"/>
      <c r="DW71" s="15"/>
      <c r="DX71" s="15">
        <f t="shared" si="249"/>
        <v>0</v>
      </c>
      <c r="DZ71" s="15">
        <f t="shared" si="250"/>
        <v>63</v>
      </c>
      <c r="EA71" s="15">
        <f t="shared" si="251"/>
        <v>3</v>
      </c>
    </row>
    <row r="72" spans="1:131" s="14" customFormat="1" x14ac:dyDescent="0.2">
      <c r="A72" s="15">
        <v>15</v>
      </c>
      <c r="B72" s="14" t="s">
        <v>93</v>
      </c>
      <c r="C72" s="15">
        <v>0</v>
      </c>
      <c r="D72" s="15">
        <v>1</v>
      </c>
      <c r="E72" s="16"/>
      <c r="F72" s="15">
        <v>7</v>
      </c>
      <c r="G72" s="15">
        <f t="shared" si="189"/>
        <v>0</v>
      </c>
      <c r="H72" s="15">
        <f t="shared" si="190"/>
        <v>42</v>
      </c>
      <c r="I72" s="16"/>
      <c r="J72" s="15">
        <v>1</v>
      </c>
      <c r="K72" s="15">
        <f t="shared" si="191"/>
        <v>0</v>
      </c>
      <c r="L72" s="15">
        <f t="shared" si="192"/>
        <v>6</v>
      </c>
      <c r="M72" s="16"/>
      <c r="N72" s="15">
        <v>7</v>
      </c>
      <c r="O72" s="15">
        <f t="shared" si="193"/>
        <v>0</v>
      </c>
      <c r="P72" s="15">
        <f t="shared" si="194"/>
        <v>42</v>
      </c>
      <c r="Q72" s="16"/>
      <c r="R72" s="15">
        <v>1</v>
      </c>
      <c r="S72" s="15">
        <f t="shared" si="195"/>
        <v>0</v>
      </c>
      <c r="T72" s="15">
        <f t="shared" si="196"/>
        <v>6</v>
      </c>
      <c r="U72" s="16"/>
      <c r="V72" s="15">
        <v>6</v>
      </c>
      <c r="W72" s="15">
        <f t="shared" si="197"/>
        <v>0</v>
      </c>
      <c r="X72" s="15">
        <f t="shared" si="198"/>
        <v>36</v>
      </c>
      <c r="Y72" s="16"/>
      <c r="Z72" s="15">
        <v>4</v>
      </c>
      <c r="AA72" s="15">
        <f t="shared" si="199"/>
        <v>0</v>
      </c>
      <c r="AB72" s="15">
        <f t="shared" si="200"/>
        <v>24</v>
      </c>
      <c r="AC72" s="16"/>
      <c r="AD72" s="15">
        <v>8</v>
      </c>
      <c r="AE72" s="15">
        <f t="shared" si="201"/>
        <v>0</v>
      </c>
      <c r="AF72" s="15">
        <f t="shared" si="202"/>
        <v>48</v>
      </c>
      <c r="AG72" s="16"/>
      <c r="AH72" s="15">
        <v>10</v>
      </c>
      <c r="AI72" s="15">
        <f t="shared" si="203"/>
        <v>0</v>
      </c>
      <c r="AJ72" s="15">
        <f t="shared" si="204"/>
        <v>60</v>
      </c>
      <c r="AK72" s="16"/>
      <c r="AL72" s="15">
        <v>8</v>
      </c>
      <c r="AM72" s="15">
        <f t="shared" si="205"/>
        <v>0</v>
      </c>
      <c r="AN72" s="15">
        <f t="shared" si="206"/>
        <v>48</v>
      </c>
      <c r="AO72" s="16"/>
      <c r="AP72" s="15">
        <v>4</v>
      </c>
      <c r="AQ72" s="15">
        <f t="shared" si="207"/>
        <v>0</v>
      </c>
      <c r="AR72" s="15">
        <f t="shared" si="208"/>
        <v>24</v>
      </c>
      <c r="AS72" s="16"/>
      <c r="AT72" s="15">
        <v>5</v>
      </c>
      <c r="AU72" s="15">
        <f t="shared" si="209"/>
        <v>0</v>
      </c>
      <c r="AV72" s="15">
        <f t="shared" si="210"/>
        <v>30</v>
      </c>
      <c r="AW72" s="16"/>
      <c r="AX72" s="15">
        <v>4</v>
      </c>
      <c r="AY72" s="15">
        <f t="shared" si="211"/>
        <v>0</v>
      </c>
      <c r="AZ72" s="15">
        <f t="shared" si="212"/>
        <v>24</v>
      </c>
      <c r="BA72" s="16"/>
      <c r="BB72" s="15">
        <v>11</v>
      </c>
      <c r="BC72" s="15">
        <f t="shared" si="213"/>
        <v>0</v>
      </c>
      <c r="BD72" s="15">
        <f t="shared" si="214"/>
        <v>66</v>
      </c>
      <c r="BE72" s="16"/>
      <c r="BF72" s="15">
        <v>3</v>
      </c>
      <c r="BG72" s="15">
        <f t="shared" si="215"/>
        <v>0</v>
      </c>
      <c r="BH72" s="15">
        <f t="shared" si="216"/>
        <v>18</v>
      </c>
      <c r="BI72" s="16"/>
      <c r="BJ72" s="15">
        <v>8</v>
      </c>
      <c r="BK72" s="15">
        <f t="shared" si="217"/>
        <v>0</v>
      </c>
      <c r="BL72" s="15">
        <f t="shared" si="218"/>
        <v>48</v>
      </c>
      <c r="BM72" s="16"/>
      <c r="BN72" s="15">
        <v>8</v>
      </c>
      <c r="BO72" s="15">
        <f t="shared" si="219"/>
        <v>0</v>
      </c>
      <c r="BP72" s="15">
        <f t="shared" si="220"/>
        <v>48</v>
      </c>
      <c r="BQ72" s="16"/>
      <c r="BR72" s="15">
        <v>1</v>
      </c>
      <c r="BS72" s="15">
        <f t="shared" si="221"/>
        <v>0</v>
      </c>
      <c r="BT72" s="15">
        <f t="shared" si="222"/>
        <v>6</v>
      </c>
      <c r="BU72" s="16"/>
      <c r="BV72" s="15">
        <v>32</v>
      </c>
      <c r="BW72" s="15">
        <f t="shared" si="223"/>
        <v>0</v>
      </c>
      <c r="BX72" s="15">
        <f t="shared" si="224"/>
        <v>192</v>
      </c>
      <c r="BY72" s="16"/>
      <c r="BZ72" s="15">
        <v>9</v>
      </c>
      <c r="CA72" s="15">
        <f t="shared" si="225"/>
        <v>0</v>
      </c>
      <c r="CB72" s="15">
        <f t="shared" si="226"/>
        <v>54</v>
      </c>
      <c r="CC72" s="16"/>
      <c r="CD72" s="15">
        <v>8</v>
      </c>
      <c r="CE72" s="15">
        <f t="shared" si="227"/>
        <v>0</v>
      </c>
      <c r="CF72" s="15">
        <f t="shared" si="228"/>
        <v>48</v>
      </c>
      <c r="CG72" s="16"/>
      <c r="CH72" s="15">
        <v>20</v>
      </c>
      <c r="CI72" s="15">
        <f t="shared" si="229"/>
        <v>0</v>
      </c>
      <c r="CJ72" s="15">
        <f t="shared" si="230"/>
        <v>120</v>
      </c>
      <c r="CK72" s="16"/>
      <c r="CL72" s="15">
        <v>10</v>
      </c>
      <c r="CM72" s="15">
        <f t="shared" si="231"/>
        <v>0</v>
      </c>
      <c r="CN72" s="15">
        <f t="shared" si="232"/>
        <v>60</v>
      </c>
      <c r="CO72" s="16"/>
      <c r="CP72" s="15">
        <v>5</v>
      </c>
      <c r="CQ72" s="15">
        <f t="shared" si="233"/>
        <v>0</v>
      </c>
      <c r="CR72" s="15">
        <f t="shared" si="234"/>
        <v>30</v>
      </c>
      <c r="CS72" s="16"/>
      <c r="CT72" s="15">
        <v>8</v>
      </c>
      <c r="CU72" s="15">
        <f t="shared" si="235"/>
        <v>0</v>
      </c>
      <c r="CV72" s="15">
        <f t="shared" si="236"/>
        <v>48</v>
      </c>
      <c r="CW72" s="16"/>
      <c r="CX72" s="15">
        <v>8</v>
      </c>
      <c r="CY72" s="15">
        <f t="shared" si="237"/>
        <v>0</v>
      </c>
      <c r="CZ72" s="15">
        <f t="shared" si="238"/>
        <v>48</v>
      </c>
      <c r="DA72" s="16"/>
      <c r="DB72" s="15">
        <v>5</v>
      </c>
      <c r="DC72" s="15">
        <f t="shared" si="239"/>
        <v>0</v>
      </c>
      <c r="DD72" s="15">
        <f t="shared" si="240"/>
        <v>30</v>
      </c>
      <c r="DE72" s="16"/>
      <c r="DF72" s="15">
        <v>8</v>
      </c>
      <c r="DG72" s="15">
        <f t="shared" si="241"/>
        <v>0</v>
      </c>
      <c r="DH72" s="15">
        <f t="shared" si="242"/>
        <v>48</v>
      </c>
      <c r="DI72" s="16"/>
      <c r="DJ72" s="15"/>
      <c r="DK72" s="15">
        <f t="shared" si="243"/>
        <v>0</v>
      </c>
      <c r="DL72" s="15">
        <f t="shared" si="244"/>
        <v>0</v>
      </c>
      <c r="DM72" s="16"/>
      <c r="DN72" s="15"/>
      <c r="DO72" s="15">
        <f t="shared" si="245"/>
        <v>0</v>
      </c>
      <c r="DP72" s="15">
        <f t="shared" si="246"/>
        <v>0</v>
      </c>
      <c r="DQ72" s="16"/>
      <c r="DR72" s="15"/>
      <c r="DS72" s="15">
        <f t="shared" si="247"/>
        <v>0</v>
      </c>
      <c r="DT72" s="15">
        <f t="shared" si="248"/>
        <v>0</v>
      </c>
      <c r="DU72" s="16"/>
      <c r="DV72" s="15"/>
      <c r="DW72" s="15"/>
      <c r="DX72" s="15">
        <f t="shared" si="249"/>
        <v>0</v>
      </c>
      <c r="DZ72" s="15">
        <f t="shared" si="250"/>
        <v>32</v>
      </c>
      <c r="EA72" s="15">
        <f t="shared" si="251"/>
        <v>1</v>
      </c>
    </row>
    <row r="73" spans="1:131" s="10" customFormat="1" x14ac:dyDescent="0.2">
      <c r="A73" s="9"/>
      <c r="B73" s="10" t="s">
        <v>94</v>
      </c>
      <c r="C73" s="9"/>
      <c r="D73" s="9"/>
      <c r="E73" s="12"/>
      <c r="F73" s="9">
        <f>SUM(F57:F72)</f>
        <v>530</v>
      </c>
      <c r="G73" s="9">
        <f>SUM(G57:G72)</f>
        <v>0</v>
      </c>
      <c r="H73" s="9">
        <f>SUM(H57:H72)</f>
        <v>3180</v>
      </c>
      <c r="I73" s="12"/>
      <c r="J73" s="9">
        <f>SUM(J57:J72)</f>
        <v>519</v>
      </c>
      <c r="K73" s="9">
        <f>SUM(K57:K72)</f>
        <v>0</v>
      </c>
      <c r="L73" s="9">
        <f>SUM(L57:L72)</f>
        <v>3114</v>
      </c>
      <c r="M73" s="12"/>
      <c r="N73" s="9">
        <f>SUM(N57:N72)</f>
        <v>515</v>
      </c>
      <c r="O73" s="9">
        <f>SUM(O57:O72)</f>
        <v>0</v>
      </c>
      <c r="P73" s="9">
        <f>SUM(P57:P72)</f>
        <v>3090</v>
      </c>
      <c r="Q73" s="12"/>
      <c r="R73" s="9">
        <f>SUM(R57:R72)</f>
        <v>497</v>
      </c>
      <c r="S73" s="9">
        <f>SUM(S57:S72)</f>
        <v>0</v>
      </c>
      <c r="T73" s="9">
        <f>SUM(T57:T72)</f>
        <v>2982</v>
      </c>
      <c r="U73" s="12"/>
      <c r="V73" s="9">
        <f>SUM(V57:V72)</f>
        <v>519</v>
      </c>
      <c r="W73" s="9">
        <f>SUM(W57:W72)</f>
        <v>0</v>
      </c>
      <c r="X73" s="9">
        <f>SUM(X57:X72)</f>
        <v>3114</v>
      </c>
      <c r="Y73" s="12"/>
      <c r="Z73" s="9">
        <f>SUM(Z57:Z72)</f>
        <v>586</v>
      </c>
      <c r="AA73" s="9">
        <f>SUM(AA57:AA72)</f>
        <v>0</v>
      </c>
      <c r="AB73" s="9">
        <f>SUM(AB57:AB72)</f>
        <v>3516</v>
      </c>
      <c r="AC73" s="12"/>
      <c r="AD73" s="9">
        <f>SUM(AD57:AD72)</f>
        <v>487</v>
      </c>
      <c r="AE73" s="9">
        <f>SUM(AE57:AE72)</f>
        <v>0</v>
      </c>
      <c r="AF73" s="9">
        <f>SUM(AF57:AF72)</f>
        <v>2922</v>
      </c>
      <c r="AG73" s="12"/>
      <c r="AH73" s="9">
        <f>SUM(AH57:AH72)</f>
        <v>523</v>
      </c>
      <c r="AI73" s="9">
        <f>SUM(AI57:AI72)</f>
        <v>0</v>
      </c>
      <c r="AJ73" s="9">
        <f>SUM(AJ57:AJ72)</f>
        <v>3138</v>
      </c>
      <c r="AK73" s="12"/>
      <c r="AL73" s="9">
        <f>SUM(AL57:AL72)</f>
        <v>511</v>
      </c>
      <c r="AM73" s="9">
        <f>SUM(AM57:AM72)</f>
        <v>0</v>
      </c>
      <c r="AN73" s="9">
        <f>SUM(AN57:AN72)</f>
        <v>3066</v>
      </c>
      <c r="AO73" s="12"/>
      <c r="AP73" s="9">
        <f>SUM(AP57:AP72)</f>
        <v>511</v>
      </c>
      <c r="AQ73" s="9">
        <f>SUM(AQ57:AQ72)</f>
        <v>0</v>
      </c>
      <c r="AR73" s="9">
        <f>SUM(AR57:AR72)</f>
        <v>3066</v>
      </c>
      <c r="AS73" s="12"/>
      <c r="AT73" s="9">
        <f>SUM(AT57:AT72)</f>
        <v>525</v>
      </c>
      <c r="AU73" s="9">
        <f>SUM(AU57:AU72)</f>
        <v>0</v>
      </c>
      <c r="AV73" s="9">
        <f>SUM(AV57:AV72)</f>
        <v>3150</v>
      </c>
      <c r="AW73" s="12"/>
      <c r="AX73" s="9">
        <f>SUM(AX57:AX72)</f>
        <v>519</v>
      </c>
      <c r="AY73" s="9">
        <f>SUM(AY57:AY72)</f>
        <v>0</v>
      </c>
      <c r="AZ73" s="9">
        <f>SUM(AZ57:AZ72)</f>
        <v>3114</v>
      </c>
      <c r="BA73" s="12"/>
      <c r="BB73" s="9">
        <f>SUM(BB57:BB72)</f>
        <v>526</v>
      </c>
      <c r="BC73" s="9">
        <f>SUM(BC57:BC72)</f>
        <v>0</v>
      </c>
      <c r="BD73" s="9">
        <f>SUM(BD57:BD72)</f>
        <v>3156</v>
      </c>
      <c r="BE73" s="12"/>
      <c r="BF73" s="9">
        <f>SUM(BF57:BF72)</f>
        <v>512</v>
      </c>
      <c r="BG73" s="9">
        <f>SUM(BG57:BG72)</f>
        <v>0</v>
      </c>
      <c r="BH73" s="9">
        <f>SUM(BH57:BH72)</f>
        <v>3072</v>
      </c>
      <c r="BI73" s="12"/>
      <c r="BJ73" s="9">
        <f>SUM(BJ57:BJ72)</f>
        <v>507</v>
      </c>
      <c r="BK73" s="9">
        <f>SUM(BK57:BK72)</f>
        <v>0</v>
      </c>
      <c r="BL73" s="9">
        <f>SUM(BL57:BL72)</f>
        <v>3042</v>
      </c>
      <c r="BM73" s="12"/>
      <c r="BN73" s="9">
        <f>SUM(BN57:BN72)</f>
        <v>508</v>
      </c>
      <c r="BO73" s="9">
        <f>SUM(BO57:BO72)</f>
        <v>0</v>
      </c>
      <c r="BP73" s="9">
        <f>SUM(BP57:BP72)</f>
        <v>3048</v>
      </c>
      <c r="BQ73" s="12"/>
      <c r="BR73" s="9"/>
      <c r="BS73" s="9">
        <f>SUM(BS57:BS72)</f>
        <v>0</v>
      </c>
      <c r="BT73" s="9">
        <f>SUM(BT57:BT72)</f>
        <v>3246</v>
      </c>
      <c r="BU73" s="12"/>
      <c r="BV73" s="9">
        <f>SUM(BV57:BV72)</f>
        <v>597</v>
      </c>
      <c r="BW73" s="9">
        <f>SUM(BW57:BW72)</f>
        <v>0</v>
      </c>
      <c r="BX73" s="9">
        <f>SUM(BX57:BX72)</f>
        <v>3582</v>
      </c>
      <c r="BY73" s="12"/>
      <c r="BZ73" s="9">
        <f>SUM(BZ57:BZ72)</f>
        <v>476</v>
      </c>
      <c r="CA73" s="9">
        <f>SUM(CA57:CA72)</f>
        <v>0</v>
      </c>
      <c r="CB73" s="9">
        <f>SUM(CB57:CB72)</f>
        <v>2856</v>
      </c>
      <c r="CC73" s="12"/>
      <c r="CD73" s="9">
        <f>SUM(CD57:CD72)</f>
        <v>540</v>
      </c>
      <c r="CE73" s="9">
        <f>SUM(CE57:CE72)</f>
        <v>0</v>
      </c>
      <c r="CF73" s="9">
        <f>SUM(CF57:CF72)</f>
        <v>3240</v>
      </c>
      <c r="CG73" s="12"/>
      <c r="CH73" s="9">
        <f>SUM(CH57:CH72)</f>
        <v>488</v>
      </c>
      <c r="CI73" s="9">
        <f>SUM(CI57:CI72)</f>
        <v>0</v>
      </c>
      <c r="CJ73" s="9">
        <f>SUM(CJ57:CJ72)</f>
        <v>2928</v>
      </c>
      <c r="CK73" s="12"/>
      <c r="CL73" s="9">
        <f>SUM(CL57:CL72)</f>
        <v>507</v>
      </c>
      <c r="CM73" s="9">
        <f>SUM(CM57:CM72)</f>
        <v>0</v>
      </c>
      <c r="CN73" s="9">
        <f>SUM(CN57:CN72)</f>
        <v>3042</v>
      </c>
      <c r="CO73" s="12"/>
      <c r="CP73" s="9">
        <f>SUM(CP57:CP72)</f>
        <v>486</v>
      </c>
      <c r="CQ73" s="9">
        <f>SUM(CQ57:CQ72)</f>
        <v>0</v>
      </c>
      <c r="CR73" s="9">
        <f>SUM(CR57:CR72)</f>
        <v>2916</v>
      </c>
      <c r="CS73" s="12"/>
      <c r="CT73" s="9">
        <f>SUM(CT57:CT72)</f>
        <v>524</v>
      </c>
      <c r="CU73" s="9">
        <f>SUM(CU57:CU72)</f>
        <v>0</v>
      </c>
      <c r="CV73" s="9">
        <f>SUM(CV57:CV72)</f>
        <v>3144</v>
      </c>
      <c r="CW73" s="12"/>
      <c r="CX73" s="9">
        <f>SUM(CX57:CX72)</f>
        <v>531</v>
      </c>
      <c r="CY73" s="9">
        <f>SUM(CY57:CY72)</f>
        <v>0</v>
      </c>
      <c r="CZ73" s="9">
        <f>SUM(CZ57:CZ72)</f>
        <v>3186</v>
      </c>
      <c r="DA73" s="12"/>
      <c r="DB73" s="9">
        <f>SUM(DB57:DB72)</f>
        <v>545</v>
      </c>
      <c r="DC73" s="9">
        <f>SUM(DC57:DC72)</f>
        <v>0</v>
      </c>
      <c r="DD73" s="9">
        <f>SUM(DD57:DD72)</f>
        <v>3270</v>
      </c>
      <c r="DE73" s="12"/>
      <c r="DF73" s="9">
        <f>SUM(DF57:DF72)</f>
        <v>517</v>
      </c>
      <c r="DG73" s="9">
        <f>SUM(DG57:DG72)</f>
        <v>0</v>
      </c>
      <c r="DH73" s="9">
        <f>SUM(DH57:DH72)</f>
        <v>3102</v>
      </c>
      <c r="DI73" s="12"/>
      <c r="DJ73" s="9">
        <f>SUM(DJ57:DJ72)</f>
        <v>0</v>
      </c>
      <c r="DK73" s="9">
        <f>SUM(DK57:DK72)</f>
        <v>0</v>
      </c>
      <c r="DL73" s="9">
        <f>SUM(DL57:DL72)</f>
        <v>0</v>
      </c>
      <c r="DM73" s="12"/>
      <c r="DN73" s="9">
        <f>SUM(DN57:DN72)</f>
        <v>0</v>
      </c>
      <c r="DO73" s="9">
        <f>SUM(DO57:DO72)</f>
        <v>0</v>
      </c>
      <c r="DP73" s="9">
        <f>SUM(DP57:DP72)</f>
        <v>0</v>
      </c>
      <c r="DQ73" s="12"/>
      <c r="DR73" s="9">
        <f>SUM(DR57:DR72)</f>
        <v>0</v>
      </c>
      <c r="DS73" s="9">
        <f>SUM(DS57:DS72)</f>
        <v>0</v>
      </c>
      <c r="DT73" s="9">
        <f>SUM(DT57:DT72)</f>
        <v>0</v>
      </c>
      <c r="DU73" s="12"/>
      <c r="DV73" s="9"/>
      <c r="DW73" s="9"/>
      <c r="DX73" s="9"/>
    </row>
    <row r="74" spans="1:131" ht="12" customHeight="1" thickBot="1" x14ac:dyDescent="0.25">
      <c r="A74" s="6"/>
      <c r="B74" s="7"/>
      <c r="C74" s="8"/>
      <c r="D74" s="8"/>
      <c r="E74" s="12"/>
      <c r="F74" s="8"/>
      <c r="G74" s="8"/>
      <c r="H74" s="8"/>
      <c r="I74" s="12"/>
      <c r="J74" s="8"/>
      <c r="K74" s="8"/>
      <c r="L74" s="8"/>
      <c r="M74" s="12"/>
      <c r="N74" s="8"/>
      <c r="O74" s="8"/>
      <c r="P74" s="8"/>
      <c r="Q74" s="12"/>
      <c r="R74" s="8"/>
      <c r="S74" s="8"/>
      <c r="T74" s="8"/>
      <c r="U74" s="12"/>
      <c r="V74" s="8"/>
      <c r="W74" s="8"/>
      <c r="X74" s="8"/>
      <c r="Y74" s="12"/>
      <c r="Z74" s="8"/>
      <c r="AA74" s="8"/>
      <c r="AB74" s="8"/>
      <c r="AC74" s="12"/>
      <c r="AD74" s="8"/>
      <c r="AE74" s="8"/>
      <c r="AF74" s="8"/>
      <c r="AG74" s="12"/>
      <c r="AH74" s="8"/>
      <c r="AI74" s="8"/>
      <c r="AJ74" s="8"/>
      <c r="AK74" s="12"/>
      <c r="AL74" s="5"/>
      <c r="AM74" s="5"/>
      <c r="AN74" s="5"/>
      <c r="AO74" s="12"/>
      <c r="AP74" s="5"/>
      <c r="AQ74" s="5"/>
      <c r="AR74" s="5"/>
      <c r="AS74" s="12"/>
      <c r="AT74" s="5"/>
      <c r="AU74" s="5"/>
      <c r="AV74" s="5"/>
      <c r="AW74" s="12"/>
      <c r="AX74" s="5"/>
      <c r="AY74" s="5"/>
      <c r="AZ74" s="5"/>
      <c r="BA74" s="12"/>
      <c r="BB74" s="5"/>
      <c r="BC74" s="5"/>
      <c r="BD74" s="5"/>
      <c r="BE74" s="12"/>
      <c r="BF74" s="5"/>
      <c r="BG74" s="5"/>
      <c r="BH74" s="5"/>
      <c r="BI74" s="12"/>
      <c r="BJ74" s="5"/>
      <c r="BK74" s="5"/>
      <c r="BL74" s="5"/>
      <c r="BM74" s="12"/>
      <c r="BN74" s="5"/>
      <c r="BO74" s="5"/>
      <c r="BP74" s="5"/>
      <c r="BQ74" s="12"/>
      <c r="BR74" s="5"/>
      <c r="BS74" s="5"/>
      <c r="BT74" s="5"/>
      <c r="BU74" s="12"/>
      <c r="BV74" s="5"/>
      <c r="BW74" s="5"/>
      <c r="BX74" s="5"/>
      <c r="BY74" s="12"/>
      <c r="BZ74" s="5"/>
      <c r="CA74" s="5"/>
      <c r="CB74" s="5"/>
      <c r="CC74" s="12"/>
      <c r="CD74" s="5"/>
      <c r="CE74" s="5"/>
      <c r="CF74" s="5"/>
      <c r="CG74" s="12"/>
      <c r="CH74" s="5"/>
      <c r="CI74" s="5"/>
      <c r="CJ74" s="5"/>
      <c r="CK74" s="12"/>
      <c r="CL74" s="5"/>
      <c r="CM74" s="5"/>
      <c r="CN74" s="5"/>
      <c r="CO74" s="12"/>
      <c r="CP74" s="5"/>
      <c r="CQ74" s="5"/>
      <c r="CR74" s="5"/>
      <c r="CS74" s="12"/>
      <c r="CT74" s="5"/>
      <c r="CU74" s="5"/>
      <c r="CV74" s="5"/>
      <c r="CW74" s="12"/>
      <c r="CX74" s="5"/>
      <c r="CY74" s="5"/>
      <c r="CZ74" s="5"/>
      <c r="DA74" s="12"/>
      <c r="DB74" s="5"/>
      <c r="DC74" s="5"/>
      <c r="DD74" s="5"/>
      <c r="DE74" s="12"/>
      <c r="DF74" s="5"/>
      <c r="DG74" s="5"/>
      <c r="DH74" s="5"/>
      <c r="DI74" s="12"/>
      <c r="DJ74" s="5"/>
      <c r="DK74" s="5"/>
      <c r="DL74" s="5"/>
      <c r="DM74" s="12"/>
      <c r="DN74" s="5"/>
      <c r="DO74" s="5"/>
      <c r="DP74" s="5"/>
      <c r="DQ74" s="12"/>
      <c r="DR74" s="5"/>
      <c r="DS74" s="5"/>
      <c r="DT74" s="5"/>
      <c r="DU74" s="12"/>
      <c r="DX74" s="5"/>
    </row>
    <row r="75" spans="1:131" x14ac:dyDescent="0.2">
      <c r="B75" s="9" t="s">
        <v>95</v>
      </c>
      <c r="C75" s="5">
        <f>SUM(C3:C74)</f>
        <v>0</v>
      </c>
      <c r="D75" s="5">
        <f>SUM(D3:D74)</f>
        <v>64</v>
      </c>
      <c r="E75" s="12"/>
      <c r="F75" s="5">
        <f>SUM(F3:F74,-F19,-F37,-F55,-F73)</f>
        <v>2080</v>
      </c>
      <c r="G75" s="9">
        <f>SUM(G3:G74,-G19,-G37,-G55,-G73)</f>
        <v>0</v>
      </c>
      <c r="H75" s="9">
        <f>SUM(H3:H74,-H19,-H37,-H55,-H73)</f>
        <v>12480</v>
      </c>
      <c r="I75" s="12"/>
      <c r="J75" s="5">
        <f>SUM(J3:J74,-J19,-J37,-J55,-J73)</f>
        <v>2080</v>
      </c>
      <c r="K75" s="9">
        <f>SUM(K3:K74,-K19,-K37,-K55,-K73)</f>
        <v>0</v>
      </c>
      <c r="L75" s="9">
        <f>SUM(L3:L74,-L19,-L37,-L55,-L73)</f>
        <v>12480</v>
      </c>
      <c r="M75" s="12"/>
      <c r="N75" s="5">
        <f>SUM(N3:N74,-N19,-N37,-N55,-N73)</f>
        <v>2080</v>
      </c>
      <c r="O75" s="9">
        <f>SUM(O3:O74,-O19,-O37,-O55,-O73)</f>
        <v>0</v>
      </c>
      <c r="P75" s="9">
        <f>SUM(P3:P74,-P19,-P37,-P55,-P73)</f>
        <v>12480</v>
      </c>
      <c r="Q75" s="12"/>
      <c r="R75" s="5">
        <f>SUM(R3:R74,-R19,-R37,-R55,-R73)</f>
        <v>2080</v>
      </c>
      <c r="S75" s="9">
        <f>SUM(S3:S74,-S19,-S37,-S55,-S73)</f>
        <v>0</v>
      </c>
      <c r="T75" s="9">
        <f>SUM(T3:T74,-T19,-T37,-T55,-T73)</f>
        <v>12480</v>
      </c>
      <c r="U75" s="12"/>
      <c r="V75" s="5">
        <f>SUM(V3:V74,-V19,-V37,-V55,-V73)</f>
        <v>2080</v>
      </c>
      <c r="W75" s="9">
        <f>SUM(W3:W74,-W19,-W37,-W55,-W73)</f>
        <v>0</v>
      </c>
      <c r="X75" s="9">
        <f>SUM(X3:X74,-X19,-X37,-X55,-X73)</f>
        <v>12480</v>
      </c>
      <c r="Y75" s="12"/>
      <c r="Z75" s="5">
        <f>SUM(Z3:Z74,-Z19,-Z37,-Z55,-Z73)</f>
        <v>2080</v>
      </c>
      <c r="AA75" s="9">
        <f>SUM(AA3:AA74,-AA19,-AA37,-AA55,-AA73)</f>
        <v>0</v>
      </c>
      <c r="AB75" s="9">
        <f>SUM(AB3:AB74,-AB19,-AB37,-AB55,-AB73)</f>
        <v>12480</v>
      </c>
      <c r="AC75" s="12"/>
      <c r="AD75" s="5">
        <f>SUM(AD3:AD74,-AD19,-AD37,-AD55,-AD73)</f>
        <v>2080</v>
      </c>
      <c r="AE75" s="9">
        <f>SUM(AE3:AE74,-AE19,-AE37,-AE55,-AE73)</f>
        <v>0</v>
      </c>
      <c r="AF75" s="9">
        <f>SUM(AF3:AF74,-AF19,-AF37,-AF55,-AF73)</f>
        <v>12480</v>
      </c>
      <c r="AG75" s="12"/>
      <c r="AH75" s="5">
        <f>SUM(AH3:AH74,-AH19,-AH37,-AH55,-AH73)</f>
        <v>2080</v>
      </c>
      <c r="AI75" s="9">
        <f>SUM(AI3:AI74,-AI19,-AI37,-AI55,-AI73)</f>
        <v>0</v>
      </c>
      <c r="AJ75" s="9">
        <f>SUM(AJ3:AJ74,-AJ19,-AJ37,-AJ55,-AJ73)</f>
        <v>12480</v>
      </c>
      <c r="AK75" s="12"/>
      <c r="AL75" s="24">
        <f>SUM(AL3:AL74,-AL19,-AL37,-AL55,-AL73)</f>
        <v>2080</v>
      </c>
      <c r="AM75" s="25">
        <f>SUM(AM3:AM74,-AM19,-AM37,-AM55,-AM73)</f>
        <v>0</v>
      </c>
      <c r="AN75" s="25">
        <f>SUM(AN3:AN74,-AN19,-AN37,-AN55,-AN73)</f>
        <v>12480</v>
      </c>
      <c r="AO75" s="12"/>
      <c r="AP75" s="24">
        <f>SUM(AP3:AP74,-AP19,-AP37,-AP55,-AP73)</f>
        <v>2080</v>
      </c>
      <c r="AQ75" s="25">
        <f>SUM(AQ3:AQ74,-AQ19,-AQ37,-AQ55,-AQ73)</f>
        <v>0</v>
      </c>
      <c r="AR75" s="25">
        <f>SUM(AR3:AR74,-AR19,-AR37,-AR55,-AR73)</f>
        <v>12480</v>
      </c>
      <c r="AS75" s="12"/>
      <c r="AT75" s="24">
        <f>SUM(AT3:AT74,-AT19,-AT37,-AT55,-AT73)</f>
        <v>2080</v>
      </c>
      <c r="AU75" s="25">
        <f>SUM(AU3:AU74,-AU19,-AU37,-AU55,-AU73)</f>
        <v>0</v>
      </c>
      <c r="AV75" s="25">
        <f>SUM(AV3:AV74,-AV19,-AV37,-AV55,-AV73)</f>
        <v>12480</v>
      </c>
      <c r="AW75" s="12"/>
      <c r="AX75" s="24">
        <f>SUM(AX3:AX74,-AX19,-AX37,-AX55,-AX73)</f>
        <v>2080</v>
      </c>
      <c r="AY75" s="25">
        <f>SUM(AY3:AY74,-AY19,-AY37,-AY55,-AY73)</f>
        <v>0</v>
      </c>
      <c r="AZ75" s="25">
        <f>SUM(AZ3:AZ74,-AZ19,-AZ37,-AZ55,-AZ73)</f>
        <v>12480</v>
      </c>
      <c r="BA75" s="12"/>
      <c r="BB75" s="24">
        <f>SUM(BB3:BB74,-BB19,-BB37,-BB55,-BB73)</f>
        <v>2080</v>
      </c>
      <c r="BC75" s="25">
        <f>SUM(BC3:BC74,-BC19,-BC37,-BC55,-BC73)</f>
        <v>0</v>
      </c>
      <c r="BD75" s="25">
        <f>SUM(BD3:BD74,-BD19,-BD37,-BD55,-BD73)</f>
        <v>12480</v>
      </c>
      <c r="BE75" s="12"/>
      <c r="BF75" s="24">
        <f>SUM(BF3:BF74,-BF19,-BF37,-BF55,-BF73)</f>
        <v>2080</v>
      </c>
      <c r="BG75" s="25">
        <f>SUM(BG3:BG74,-BG19,-BG37,-BG55,-BG73)</f>
        <v>0</v>
      </c>
      <c r="BH75" s="25">
        <f>SUM(BH3:BH74,-BH19,-BH37,-BH55,-BH73)</f>
        <v>12480</v>
      </c>
      <c r="BI75" s="12"/>
      <c r="BJ75" s="24">
        <f>SUM(BJ3:BJ74,-BJ19,-BJ37,-BJ55,-BJ73)</f>
        <v>2080</v>
      </c>
      <c r="BK75" s="25">
        <f>SUM(BK3:BK74,-BK19,-BK37,-BK55,-BK73)</f>
        <v>0</v>
      </c>
      <c r="BL75" s="25">
        <f>SUM(BL3:BL74,-BL19,-BL37,-BL55,-BL73)</f>
        <v>12480</v>
      </c>
      <c r="BM75" s="12"/>
      <c r="BN75" s="24">
        <f>SUM(BN3:BN74,-BN19,-BN37,-BN55,-BN73)</f>
        <v>2080</v>
      </c>
      <c r="BO75" s="25">
        <f>SUM(BO3:BO74,-BO19,-BO37,-BO55,-BO73)</f>
        <v>0</v>
      </c>
      <c r="BP75" s="25">
        <f>SUM(BP3:BP74,-BP19,-BP37,-BP55,-BP73)</f>
        <v>12480</v>
      </c>
      <c r="BQ75" s="12"/>
      <c r="BR75" s="24">
        <f>SUM(BR3:BR74,-BR19,-BR37,-BR55,-BR73)</f>
        <v>2080</v>
      </c>
      <c r="BS75" s="25">
        <f>SUM(BS3:BS74,-BS19,-BS37,-BS55,-BS73)</f>
        <v>0</v>
      </c>
      <c r="BT75" s="25">
        <f>SUM(BT3:BT74,-BT19,-BT37,-BT55,-BT73)</f>
        <v>12480</v>
      </c>
      <c r="BU75" s="12"/>
      <c r="BV75" s="24">
        <f>SUM(BV3:BV74,-BV19,-BV37,-BV55,-BV73)</f>
        <v>2080</v>
      </c>
      <c r="BW75" s="25">
        <f>SUM(BW3:BW74,-BW19,-BW37,-BW55,-BW73)</f>
        <v>0</v>
      </c>
      <c r="BX75" s="25">
        <f>SUM(BX3:BX74,-BX19,-BX37,-BX55,-BX73)</f>
        <v>12480</v>
      </c>
      <c r="BY75" s="12"/>
      <c r="BZ75" s="24">
        <f>SUM(BZ3:BZ74,-BZ19,-BZ37,-BZ55,-BZ73)</f>
        <v>2080</v>
      </c>
      <c r="CA75" s="25">
        <f>SUM(CA3:CA74,-CA19,-CA37,-CA55,-CA73)</f>
        <v>0</v>
      </c>
      <c r="CB75" s="25">
        <f>SUM(CB3:CB74,-CB19,-CB37,-CB55,-CB73)</f>
        <v>12480</v>
      </c>
      <c r="CC75" s="12"/>
      <c r="CD75" s="24">
        <f>SUM(CD3:CD74,-CD19,-CD37,-CD55,-CD73)</f>
        <v>2080</v>
      </c>
      <c r="CE75" s="25">
        <f>SUM(CE3:CE74,-CE19,-CE37,-CE55,-CE73)</f>
        <v>0</v>
      </c>
      <c r="CF75" s="25">
        <f>SUM(CF3:CF74,-CF19,-CF37,-CF55,-CF73)</f>
        <v>12480</v>
      </c>
      <c r="CG75" s="12"/>
      <c r="CH75" s="24">
        <f>SUM(CH3:CH74,-CH19,-CH37,-CH55,-CH73)</f>
        <v>2080</v>
      </c>
      <c r="CI75" s="25">
        <f>SUM(CI3:CI74,-CI19,-CI37,-CI55,-CI73)</f>
        <v>0</v>
      </c>
      <c r="CJ75" s="25">
        <f>SUM(CJ3:CJ74,-CJ19,-CJ37,-CJ55,-CJ73)</f>
        <v>12480</v>
      </c>
      <c r="CK75" s="12"/>
      <c r="CL75" s="24">
        <f>SUM(CL3:CL74,-CL19,-CL37,-CL55,-CL73)</f>
        <v>2080</v>
      </c>
      <c r="CM75" s="25">
        <f>SUM(CM3:CM74,-CM19,-CM37,-CM55,-CM73)</f>
        <v>0</v>
      </c>
      <c r="CN75" s="25">
        <f>SUM(CN3:CN74,-CN19,-CN37,-CN55,-CN73)</f>
        <v>12480</v>
      </c>
      <c r="CO75" s="12"/>
      <c r="CP75" s="24">
        <f>SUM(CP3:CP74,-CP19,-CP37,-CP55,-CP73)</f>
        <v>2080</v>
      </c>
      <c r="CQ75" s="25">
        <f>SUM(CQ3:CQ74,-CQ19,-CQ37,-CQ55,-CQ73)</f>
        <v>0</v>
      </c>
      <c r="CR75" s="25">
        <f>SUM(CR3:CR74,-CR19,-CR37,-CR55,-CR73)</f>
        <v>12480</v>
      </c>
      <c r="CS75" s="12"/>
      <c r="CT75" s="24">
        <f>SUM(CT3:CT74,-CT19,-CT37,-CT55,-CT73)</f>
        <v>2080</v>
      </c>
      <c r="CU75" s="25">
        <f>SUM(CU3:CU74,-CU19,-CU37,-CU55,-CU73)</f>
        <v>0</v>
      </c>
      <c r="CV75" s="25">
        <f>SUM(CV3:CV74,-CV19,-CV37,-CV55,-CV73)</f>
        <v>12480</v>
      </c>
      <c r="CW75" s="12"/>
      <c r="CX75" s="24">
        <f>SUM(CX3:CX74,-CX19,-CX37,-CX55,-CX73)</f>
        <v>2080</v>
      </c>
      <c r="CY75" s="25">
        <f>SUM(CY3:CY74,-CY19,-CY37,-CY55,-CY73)</f>
        <v>0</v>
      </c>
      <c r="CZ75" s="25">
        <f>SUM(CZ3:CZ74,-CZ19,-CZ37,-CZ55,-CZ73)</f>
        <v>12480</v>
      </c>
      <c r="DA75" s="12"/>
      <c r="DB75" s="24">
        <f>SUM(DB3:DB74,-DB19,-DB37,-DB55,-DB73)</f>
        <v>2080</v>
      </c>
      <c r="DC75" s="25">
        <f>SUM(DC3:DC74,-DC19,-DC37,-DC55,-DC73)</f>
        <v>0</v>
      </c>
      <c r="DD75" s="25">
        <f>SUM(DD3:DD74,-DD19,-DD37,-DD55,-DD73)</f>
        <v>12480</v>
      </c>
      <c r="DE75" s="12"/>
      <c r="DF75" s="24">
        <f>SUM(DF3:DF74,-DF19,-DF37,-DF55,-DF73)</f>
        <v>2080</v>
      </c>
      <c r="DG75" s="25">
        <f>SUM(DG3:DG74,-DG19,-DG37,-DG55,-DG73)</f>
        <v>0</v>
      </c>
      <c r="DH75" s="25">
        <f>SUM(DH3:DH74,-DH19,-DH37,-DH55,-DH73)</f>
        <v>12480</v>
      </c>
      <c r="DI75" s="12"/>
      <c r="DJ75" s="24">
        <f>SUM(DJ3:DJ74,-DJ19,-DJ37,-DJ55,-DJ73)</f>
        <v>0</v>
      </c>
      <c r="DK75" s="25">
        <f>SUM(DK3:DK74,-DK19,-DK37,-DK55,-DK73)</f>
        <v>0</v>
      </c>
      <c r="DL75" s="25">
        <f>SUM(DL3:DL74,-DL19,-DL37,-DL55,-DL73)</f>
        <v>0</v>
      </c>
      <c r="DM75" s="12"/>
      <c r="DN75" s="24">
        <f>SUM(DN3:DN74,-DN19,-DN37,-DN55,-DN73)</f>
        <v>0</v>
      </c>
      <c r="DO75" s="25">
        <f>SUM(DO3:DO74,-DO19,-DO37,-DO55,-DO73)</f>
        <v>0</v>
      </c>
      <c r="DP75" s="25">
        <f>SUM(DP3:DP74,-DP19,-DP37,-DP55,-DP73)</f>
        <v>0</v>
      </c>
      <c r="DQ75" s="12"/>
      <c r="DR75" s="24">
        <f>SUM(DR3:DR74,-DR19,-DR37,-DR55,-DR73)</f>
        <v>0</v>
      </c>
      <c r="DS75" s="25">
        <f>SUM(DS3:DS74,-DS19,-DS37,-DS55,-DS73)</f>
        <v>0</v>
      </c>
      <c r="DT75" s="25">
        <f>SUM(DT3:DT74,-DT19,-DT37,-DT55,-DT73)</f>
        <v>0</v>
      </c>
      <c r="DU75" s="12"/>
      <c r="DX75" s="5">
        <f>SUM(DX3:DX74)</f>
        <v>0</v>
      </c>
    </row>
    <row r="76" spans="1:131" x14ac:dyDescent="0.2">
      <c r="E76" s="12"/>
      <c r="I76" s="12"/>
      <c r="M76" s="12"/>
      <c r="Q76" s="12"/>
      <c r="U76" s="12"/>
      <c r="Y76" s="12"/>
      <c r="AC76" s="12"/>
      <c r="AG76" s="12"/>
      <c r="AK76" s="12"/>
      <c r="AL76" s="5"/>
      <c r="AM76" s="5"/>
      <c r="AN76" s="5"/>
      <c r="AO76" s="12"/>
      <c r="AP76" s="5"/>
      <c r="AQ76" s="5"/>
      <c r="AR76" s="5"/>
      <c r="AS76" s="12"/>
      <c r="AT76" s="5"/>
      <c r="AU76" s="5"/>
      <c r="AV76" s="5"/>
      <c r="AW76" s="12"/>
      <c r="AX76" s="5"/>
      <c r="AY76" s="5"/>
      <c r="AZ76" s="5"/>
      <c r="BA76" s="12"/>
      <c r="BB76" s="5"/>
      <c r="BC76" s="5"/>
      <c r="BD76" s="5"/>
      <c r="BE76" s="12"/>
      <c r="BF76" s="5"/>
      <c r="BG76" s="5"/>
      <c r="BH76" s="5"/>
      <c r="BI76" s="12"/>
      <c r="BJ76" s="5"/>
      <c r="BK76" s="5"/>
      <c r="BL76" s="5"/>
      <c r="BM76" s="12"/>
      <c r="BN76" s="5"/>
      <c r="BO76" s="5"/>
      <c r="BP76" s="5"/>
      <c r="BQ76" s="12"/>
      <c r="BR76" s="5"/>
      <c r="BS76" s="5"/>
      <c r="BT76" s="5"/>
      <c r="BU76" s="12"/>
      <c r="BV76" s="5"/>
      <c r="BW76" s="5"/>
      <c r="BX76" s="5"/>
      <c r="BY76" s="12"/>
      <c r="BZ76" s="5"/>
      <c r="CA76" s="5"/>
      <c r="CB76" s="5"/>
      <c r="CC76" s="12"/>
      <c r="CD76" s="5"/>
      <c r="CE76" s="5"/>
      <c r="CF76" s="5"/>
      <c r="CG76" s="12"/>
      <c r="CH76" s="5"/>
      <c r="CI76" s="5"/>
      <c r="CJ76" s="5"/>
      <c r="CK76" s="12"/>
      <c r="CL76" s="5"/>
      <c r="CM76" s="5"/>
      <c r="CN76" s="5"/>
      <c r="CO76" s="12"/>
      <c r="CP76" s="5"/>
      <c r="CQ76" s="5"/>
      <c r="CR76" s="5"/>
      <c r="CS76" s="12"/>
      <c r="CT76" s="5"/>
      <c r="CU76" s="5"/>
      <c r="CV76" s="5"/>
      <c r="CW76" s="12"/>
      <c r="CX76" s="5"/>
      <c r="CY76" s="5"/>
      <c r="CZ76" s="5"/>
      <c r="DA76" s="12"/>
      <c r="DB76" s="5"/>
      <c r="DC76" s="5"/>
      <c r="DD76" s="5"/>
      <c r="DE76" s="12"/>
      <c r="DF76" s="5"/>
      <c r="DG76" s="5"/>
      <c r="DH76" s="5"/>
      <c r="DI76" s="12"/>
      <c r="DJ76" s="5"/>
      <c r="DK76" s="5"/>
      <c r="DL76" s="5"/>
      <c r="DM76" s="12"/>
      <c r="DN76" s="5"/>
      <c r="DO76" s="5"/>
      <c r="DP76" s="5"/>
      <c r="DQ76" s="12"/>
      <c r="DR76" s="5"/>
      <c r="DS76" s="5"/>
      <c r="DT76" s="5"/>
      <c r="DU76" s="12"/>
    </row>
    <row r="77" spans="1:131" ht="12" customHeight="1" thickBot="1" x14ac:dyDescent="0.25">
      <c r="A77" s="11"/>
      <c r="B77" s="9"/>
      <c r="C77" s="2" t="s">
        <v>19</v>
      </c>
      <c r="D77" s="2" t="s">
        <v>20</v>
      </c>
      <c r="E77" s="12"/>
      <c r="F77" s="2" t="s">
        <v>21</v>
      </c>
      <c r="G77" s="2" t="s">
        <v>22</v>
      </c>
      <c r="H77" s="2" t="s">
        <v>23</v>
      </c>
      <c r="I77" s="12"/>
      <c r="J77" s="2" t="s">
        <v>21</v>
      </c>
      <c r="K77" s="2" t="s">
        <v>22</v>
      </c>
      <c r="L77" s="2" t="s">
        <v>23</v>
      </c>
      <c r="M77" s="12"/>
      <c r="N77" s="2" t="s">
        <v>21</v>
      </c>
      <c r="O77" s="2" t="s">
        <v>22</v>
      </c>
      <c r="P77" s="2" t="s">
        <v>23</v>
      </c>
      <c r="Q77" s="12"/>
      <c r="R77" s="2" t="s">
        <v>21</v>
      </c>
      <c r="S77" s="2" t="s">
        <v>22</v>
      </c>
      <c r="T77" s="2" t="s">
        <v>23</v>
      </c>
      <c r="U77" s="12"/>
      <c r="V77" s="2" t="s">
        <v>21</v>
      </c>
      <c r="W77" s="2" t="s">
        <v>22</v>
      </c>
      <c r="X77" s="2" t="s">
        <v>23</v>
      </c>
      <c r="Y77" s="12"/>
      <c r="Z77" s="2" t="s">
        <v>21</v>
      </c>
      <c r="AA77" s="2" t="s">
        <v>22</v>
      </c>
      <c r="AB77" s="2" t="s">
        <v>23</v>
      </c>
      <c r="AC77" s="12"/>
      <c r="AD77" s="2" t="s">
        <v>21</v>
      </c>
      <c r="AE77" s="2" t="s">
        <v>22</v>
      </c>
      <c r="AF77" s="2" t="s">
        <v>23</v>
      </c>
      <c r="AG77" s="12"/>
      <c r="AH77" s="2" t="s">
        <v>21</v>
      </c>
      <c r="AI77" s="2" t="s">
        <v>22</v>
      </c>
      <c r="AJ77" s="2" t="s">
        <v>23</v>
      </c>
      <c r="AK77" s="12"/>
      <c r="AL77" s="2" t="s">
        <v>21</v>
      </c>
      <c r="AM77" s="2" t="s">
        <v>22</v>
      </c>
      <c r="AN77" s="2" t="s">
        <v>23</v>
      </c>
      <c r="AO77" s="12"/>
      <c r="AP77" s="2" t="s">
        <v>21</v>
      </c>
      <c r="AQ77" s="2" t="s">
        <v>22</v>
      </c>
      <c r="AR77" s="2" t="s">
        <v>23</v>
      </c>
      <c r="AS77" s="12"/>
      <c r="AT77" s="2" t="s">
        <v>21</v>
      </c>
      <c r="AU77" s="2" t="s">
        <v>22</v>
      </c>
      <c r="AV77" s="2" t="s">
        <v>23</v>
      </c>
      <c r="AW77" s="12"/>
      <c r="AX77" s="2" t="s">
        <v>21</v>
      </c>
      <c r="AY77" s="2" t="s">
        <v>22</v>
      </c>
      <c r="AZ77" s="2" t="s">
        <v>23</v>
      </c>
      <c r="BA77" s="12"/>
      <c r="BB77" s="2" t="s">
        <v>21</v>
      </c>
      <c r="BC77" s="2" t="s">
        <v>22</v>
      </c>
      <c r="BD77" s="2" t="s">
        <v>23</v>
      </c>
      <c r="BE77" s="12"/>
      <c r="BF77" s="2" t="s">
        <v>21</v>
      </c>
      <c r="BG77" s="2" t="s">
        <v>22</v>
      </c>
      <c r="BH77" s="2" t="s">
        <v>23</v>
      </c>
      <c r="BI77" s="12"/>
      <c r="BJ77" s="2" t="s">
        <v>21</v>
      </c>
      <c r="BK77" s="2" t="s">
        <v>22</v>
      </c>
      <c r="BL77" s="2" t="s">
        <v>23</v>
      </c>
      <c r="BM77" s="12"/>
      <c r="BN77" s="2" t="s">
        <v>21</v>
      </c>
      <c r="BO77" s="2" t="s">
        <v>22</v>
      </c>
      <c r="BP77" s="2" t="s">
        <v>23</v>
      </c>
      <c r="BQ77" s="12"/>
      <c r="BR77" s="2" t="s">
        <v>21</v>
      </c>
      <c r="BS77" s="2" t="s">
        <v>22</v>
      </c>
      <c r="BT77" s="2" t="s">
        <v>23</v>
      </c>
      <c r="BU77" s="12"/>
      <c r="BV77" s="2" t="s">
        <v>21</v>
      </c>
      <c r="BW77" s="2" t="s">
        <v>22</v>
      </c>
      <c r="BX77" s="2" t="s">
        <v>23</v>
      </c>
      <c r="BY77" s="12"/>
      <c r="BZ77" s="2" t="s">
        <v>21</v>
      </c>
      <c r="CA77" s="2" t="s">
        <v>22</v>
      </c>
      <c r="CB77" s="2" t="s">
        <v>23</v>
      </c>
      <c r="CC77" s="12"/>
      <c r="CD77" s="2" t="s">
        <v>21</v>
      </c>
      <c r="CE77" s="2" t="s">
        <v>22</v>
      </c>
      <c r="CF77" s="2" t="s">
        <v>23</v>
      </c>
      <c r="CG77" s="12"/>
      <c r="CH77" s="2" t="s">
        <v>21</v>
      </c>
      <c r="CI77" s="2" t="s">
        <v>22</v>
      </c>
      <c r="CJ77" s="2" t="s">
        <v>23</v>
      </c>
      <c r="CK77" s="12"/>
      <c r="CL77" s="2" t="s">
        <v>21</v>
      </c>
      <c r="CM77" s="2" t="s">
        <v>22</v>
      </c>
      <c r="CN77" s="2" t="s">
        <v>23</v>
      </c>
      <c r="CO77" s="12"/>
      <c r="CP77" s="2" t="s">
        <v>21</v>
      </c>
      <c r="CQ77" s="2" t="s">
        <v>22</v>
      </c>
      <c r="CR77" s="2" t="s">
        <v>23</v>
      </c>
      <c r="CS77" s="12"/>
      <c r="CT77" s="2" t="s">
        <v>21</v>
      </c>
      <c r="CU77" s="2" t="s">
        <v>22</v>
      </c>
      <c r="CV77" s="2" t="s">
        <v>23</v>
      </c>
      <c r="CW77" s="12"/>
      <c r="CX77" s="2" t="s">
        <v>21</v>
      </c>
      <c r="CY77" s="2" t="s">
        <v>22</v>
      </c>
      <c r="CZ77" s="2" t="s">
        <v>23</v>
      </c>
      <c r="DA77" s="12"/>
      <c r="DB77" s="2" t="s">
        <v>21</v>
      </c>
      <c r="DC77" s="2" t="s">
        <v>22</v>
      </c>
      <c r="DD77" s="2" t="s">
        <v>23</v>
      </c>
      <c r="DE77" s="12"/>
      <c r="DF77" s="2" t="s">
        <v>21</v>
      </c>
      <c r="DG77" s="2" t="s">
        <v>22</v>
      </c>
      <c r="DH77" s="2" t="s">
        <v>23</v>
      </c>
      <c r="DI77" s="12"/>
      <c r="DJ77" s="2" t="s">
        <v>21</v>
      </c>
      <c r="DK77" s="2" t="s">
        <v>22</v>
      </c>
      <c r="DL77" s="2" t="s">
        <v>23</v>
      </c>
      <c r="DM77" s="12"/>
      <c r="DN77" s="2" t="s">
        <v>21</v>
      </c>
      <c r="DO77" s="2" t="s">
        <v>22</v>
      </c>
      <c r="DP77" s="2" t="s">
        <v>23</v>
      </c>
      <c r="DQ77" s="12"/>
      <c r="DR77" s="2" t="s">
        <v>21</v>
      </c>
      <c r="DS77" s="2" t="s">
        <v>22</v>
      </c>
      <c r="DT77" s="2" t="s">
        <v>23</v>
      </c>
      <c r="DU77" s="12"/>
      <c r="DW77" s="9"/>
      <c r="DX77" s="5" t="s">
        <v>16</v>
      </c>
    </row>
    <row r="78" spans="1:131" x14ac:dyDescent="0.2">
      <c r="G78" s="9" t="str">
        <f>$G1</f>
        <v>Larry Levy</v>
      </c>
      <c r="K78" s="9" t="str">
        <f>$K1</f>
        <v>John Sniezek</v>
      </c>
      <c r="O78" s="9" t="str">
        <f>$O1</f>
        <v>Chris Walz</v>
      </c>
      <c r="S78" s="9" t="str">
        <f>$S1</f>
        <v>Matt Kemeny</v>
      </c>
      <c r="W78" s="9" t="str">
        <f>$W1</f>
        <v>Brian Stoops</v>
      </c>
      <c r="AA78" s="9" t="str">
        <f>$AA1</f>
        <v>Lindsay Ringgold</v>
      </c>
      <c r="AE78" s="9" t="str">
        <f>$AE1</f>
        <v>Jason Fry</v>
      </c>
      <c r="AI78" s="9" t="str">
        <f>$AI1</f>
        <v>Damon Gulczynski</v>
      </c>
      <c r="AM78" s="9" t="str">
        <f>$AM1</f>
        <v>Grant Lippy</v>
      </c>
      <c r="AQ78" s="9" t="str">
        <f>$AQ1</f>
        <v>Tom Huppmann</v>
      </c>
      <c r="AU78" s="9" t="str">
        <f>$AU1</f>
        <v>Jess Cearfoss</v>
      </c>
      <c r="AY78" s="9" t="str">
        <f>$AY1</f>
        <v>Reilly Donovan</v>
      </c>
      <c r="BC78" s="9" t="str">
        <f>$BC1</f>
        <v>Brendan Ford</v>
      </c>
      <c r="BG78" s="9" t="str">
        <f>$BG1</f>
        <v>James McKeown</v>
      </c>
      <c r="BK78" s="9" t="str">
        <f>$BK1</f>
        <v>Jared Ashton</v>
      </c>
      <c r="BO78" s="9" t="str">
        <f>$BO1</f>
        <v>Jeff Coull</v>
      </c>
      <c r="BS78" s="9" t="str">
        <f>$BS1</f>
        <v>Matt Umland</v>
      </c>
      <c r="BW78" s="9" t="str">
        <f>$BW1</f>
        <v>Kris Culotta</v>
      </c>
      <c r="CA78" s="9" t="str">
        <f>$CA1</f>
        <v>Noah Keenan</v>
      </c>
      <c r="CE78" s="9" t="str">
        <f>$CE1</f>
        <v>Terence Wong</v>
      </c>
      <c r="CI78" s="9" t="str">
        <f>$CI1</f>
        <v>Mike Santoro</v>
      </c>
      <c r="CM78" s="9" t="str">
        <f>$CM1</f>
        <v>Scott Besch</v>
      </c>
      <c r="CQ78" s="9" t="str">
        <f>$CQ1</f>
        <v>Ben Dressing</v>
      </c>
      <c r="CU78" s="9" t="str">
        <f>$CU1</f>
        <v>Liam Corder</v>
      </c>
      <c r="CY78" s="9" t="str">
        <f>$CY1</f>
        <v>Brion Chmura</v>
      </c>
      <c r="DC78" s="9" t="str">
        <f>$DC1</f>
        <v>Jon Knazur</v>
      </c>
      <c r="DG78" s="9" t="str">
        <f>$DG1</f>
        <v>Mike Corder</v>
      </c>
      <c r="DK78" s="9">
        <f>$DK1</f>
        <v>0</v>
      </c>
      <c r="DO78" s="9">
        <f>$DO1</f>
        <v>0</v>
      </c>
      <c r="DS78" s="9">
        <f>$DS1</f>
        <v>0</v>
      </c>
      <c r="DX78" s="5" t="s">
        <v>24</v>
      </c>
    </row>
    <row r="80" spans="1:131" ht="12.75" customHeight="1" x14ac:dyDescent="0.25">
      <c r="AI80" s="31"/>
      <c r="AL80" s="31"/>
      <c r="AP80" s="31" t="s">
        <v>96</v>
      </c>
    </row>
    <row r="81" spans="1:64" ht="12.75" customHeight="1" x14ac:dyDescent="0.25">
      <c r="A81" s="67" t="s">
        <v>97</v>
      </c>
      <c r="B81" s="55"/>
      <c r="C81" s="65" t="s">
        <v>98</v>
      </c>
      <c r="D81" s="55"/>
      <c r="E81" s="61"/>
      <c r="F81" s="65" t="s">
        <v>99</v>
      </c>
      <c r="G81" s="61"/>
      <c r="H81" s="17" t="s">
        <v>21</v>
      </c>
      <c r="J81" s="19"/>
      <c r="K81" s="54" t="s">
        <v>100</v>
      </c>
      <c r="L81" s="55"/>
      <c r="M81" s="55"/>
      <c r="N81" s="55"/>
      <c r="O81" s="55"/>
      <c r="P81" s="55"/>
      <c r="Q81" s="55"/>
      <c r="R81" s="55"/>
      <c r="S81" s="55"/>
      <c r="T81" s="55"/>
      <c r="U81" s="55"/>
      <c r="V81" s="55"/>
      <c r="W81" s="55"/>
      <c r="X81" s="55"/>
      <c r="Y81" s="55"/>
      <c r="Z81" s="55"/>
      <c r="AA81" s="56" t="s">
        <v>101</v>
      </c>
      <c r="AB81" s="41"/>
      <c r="AC81" s="42"/>
      <c r="AD81" s="40" t="s">
        <v>102</v>
      </c>
      <c r="AE81" s="41"/>
      <c r="AF81" s="42"/>
      <c r="AI81" s="31" t="s">
        <v>103</v>
      </c>
      <c r="AL81" s="31"/>
      <c r="AP81" s="29"/>
    </row>
    <row r="82" spans="1:64" ht="12.75" customHeight="1" x14ac:dyDescent="0.25">
      <c r="A82" s="18">
        <v>1</v>
      </c>
      <c r="B82" s="17" t="str">
        <f>$G1</f>
        <v>Larry Levy</v>
      </c>
      <c r="C82" s="60">
        <f>$G75</f>
        <v>0</v>
      </c>
      <c r="D82" s="55"/>
      <c r="E82" s="61"/>
      <c r="F82" s="60">
        <f>$H75</f>
        <v>12480</v>
      </c>
      <c r="G82" s="61"/>
      <c r="H82" s="26">
        <f t="shared" ref="H82:H111" si="252">RANK(C82,C$82:C$111,0)</f>
        <v>1</v>
      </c>
      <c r="J82" s="20"/>
      <c r="K82" s="59">
        <v>32</v>
      </c>
      <c r="L82" s="44"/>
      <c r="M82" s="58">
        <v>16</v>
      </c>
      <c r="N82" s="44"/>
      <c r="O82" s="44"/>
      <c r="P82" s="58">
        <v>8</v>
      </c>
      <c r="Q82" s="44"/>
      <c r="R82" s="44"/>
      <c r="S82" s="58">
        <v>4</v>
      </c>
      <c r="T82" s="44"/>
      <c r="U82" s="44"/>
      <c r="V82" s="58">
        <v>2</v>
      </c>
      <c r="W82" s="44"/>
      <c r="X82" s="58">
        <v>1</v>
      </c>
      <c r="Y82" s="44"/>
      <c r="Z82" s="44"/>
      <c r="AA82" s="57"/>
      <c r="AB82" s="44"/>
      <c r="AC82" s="45"/>
      <c r="AD82" s="43"/>
      <c r="AE82" s="44"/>
      <c r="AF82" s="45"/>
      <c r="AI82" s="29" t="s">
        <v>104</v>
      </c>
    </row>
    <row r="83" spans="1:64" ht="12" customHeight="1" x14ac:dyDescent="0.25">
      <c r="A83" s="18">
        <v>2</v>
      </c>
      <c r="B83" s="17" t="str">
        <f>$K1</f>
        <v>John Sniezek</v>
      </c>
      <c r="C83" s="60">
        <f>$K75</f>
        <v>0</v>
      </c>
      <c r="D83" s="55"/>
      <c r="E83" s="61"/>
      <c r="F83" s="60">
        <f>$L75</f>
        <v>12480</v>
      </c>
      <c r="G83" s="61"/>
      <c r="H83" s="26">
        <f t="shared" si="252"/>
        <v>1</v>
      </c>
      <c r="J83" s="21">
        <v>1999</v>
      </c>
      <c r="K83" s="51">
        <v>194</v>
      </c>
      <c r="L83" s="51"/>
      <c r="M83" s="51">
        <v>282</v>
      </c>
      <c r="N83" s="51"/>
      <c r="O83" s="51"/>
      <c r="P83" s="51">
        <v>311</v>
      </c>
      <c r="Q83" s="51"/>
      <c r="R83" s="47"/>
      <c r="S83" s="51">
        <v>318</v>
      </c>
      <c r="T83" s="47"/>
      <c r="U83" s="47"/>
      <c r="V83" s="51">
        <v>320</v>
      </c>
      <c r="W83" s="47"/>
      <c r="X83" s="51">
        <v>321</v>
      </c>
      <c r="Y83" s="47"/>
      <c r="Z83" s="47"/>
      <c r="AA83" s="53">
        <v>2923</v>
      </c>
      <c r="AB83" s="47"/>
      <c r="AC83" s="48"/>
      <c r="AD83" s="52" t="s">
        <v>1</v>
      </c>
      <c r="AE83" s="47"/>
      <c r="AF83" s="48"/>
      <c r="AL83" s="28"/>
      <c r="AM83" s="28"/>
      <c r="AN83" s="28"/>
      <c r="AO83" s="28" t="s">
        <v>105</v>
      </c>
      <c r="AQ83" s="28"/>
      <c r="AR83" s="30"/>
      <c r="AS83" s="28" t="s">
        <v>106</v>
      </c>
      <c r="AU83" s="28"/>
      <c r="AV83" s="30"/>
      <c r="AW83" s="28" t="s">
        <v>107</v>
      </c>
      <c r="AZ83" s="30"/>
    </row>
    <row r="84" spans="1:64" ht="12.75" customHeight="1" x14ac:dyDescent="0.25">
      <c r="A84" s="18">
        <v>3</v>
      </c>
      <c r="B84" s="17" t="str">
        <f>$O1</f>
        <v>Chris Walz</v>
      </c>
      <c r="C84" s="60">
        <f>$O75</f>
        <v>0</v>
      </c>
      <c r="D84" s="55"/>
      <c r="E84" s="61"/>
      <c r="F84" s="60">
        <f>$P75</f>
        <v>12480</v>
      </c>
      <c r="G84" s="61"/>
      <c r="H84" s="26">
        <f t="shared" si="252"/>
        <v>1</v>
      </c>
      <c r="J84" s="22">
        <v>2000</v>
      </c>
      <c r="K84" s="51">
        <v>155</v>
      </c>
      <c r="L84" s="51"/>
      <c r="M84" s="51">
        <v>240</v>
      </c>
      <c r="N84" s="51"/>
      <c r="O84" s="51"/>
      <c r="P84" s="51">
        <v>280</v>
      </c>
      <c r="Q84" s="51"/>
      <c r="R84" s="47"/>
      <c r="S84" s="51">
        <v>302</v>
      </c>
      <c r="T84" s="47"/>
      <c r="U84" s="47"/>
      <c r="V84" s="51">
        <v>308</v>
      </c>
      <c r="W84" s="47"/>
      <c r="X84" s="51">
        <v>309</v>
      </c>
      <c r="Y84" s="47"/>
      <c r="Z84" s="47"/>
      <c r="AA84" s="53">
        <v>2968</v>
      </c>
      <c r="AB84" s="47"/>
      <c r="AC84" s="48"/>
      <c r="AD84" s="52" t="s">
        <v>2</v>
      </c>
      <c r="AE84" s="47"/>
      <c r="AF84" s="48"/>
      <c r="AP84" s="5"/>
      <c r="AQ84" s="9"/>
      <c r="AR84" s="5"/>
      <c r="AT84" s="5"/>
      <c r="AU84" s="9"/>
      <c r="AV84" s="5"/>
      <c r="AX84" s="5"/>
      <c r="AY84" s="9"/>
      <c r="AZ84" s="5"/>
      <c r="BB84" s="10"/>
      <c r="BC84" s="9" t="s">
        <v>108</v>
      </c>
      <c r="BD84" s="10"/>
      <c r="BE84" s="10"/>
      <c r="BF84" s="10"/>
      <c r="BG84" s="9" t="s">
        <v>109</v>
      </c>
      <c r="BH84" s="10"/>
      <c r="BI84" s="10"/>
      <c r="BJ84" s="10"/>
      <c r="BK84" s="9" t="s">
        <v>110</v>
      </c>
      <c r="BL84" s="10"/>
    </row>
    <row r="85" spans="1:64" ht="12.75" customHeight="1" x14ac:dyDescent="0.25">
      <c r="A85" s="18">
        <v>4</v>
      </c>
      <c r="B85" s="17" t="str">
        <f>$S1</f>
        <v>Matt Kemeny</v>
      </c>
      <c r="C85" s="60">
        <f>$S75</f>
        <v>0</v>
      </c>
      <c r="D85" s="55"/>
      <c r="E85" s="61"/>
      <c r="F85" s="60">
        <f>$T75</f>
        <v>12480</v>
      </c>
      <c r="G85" s="61"/>
      <c r="H85" s="26">
        <f t="shared" si="252"/>
        <v>1</v>
      </c>
      <c r="J85" s="22">
        <v>2001</v>
      </c>
      <c r="K85" s="51">
        <v>209</v>
      </c>
      <c r="L85" s="51"/>
      <c r="M85" s="51">
        <v>282</v>
      </c>
      <c r="N85" s="51"/>
      <c r="O85" s="51"/>
      <c r="P85" s="51">
        <v>308</v>
      </c>
      <c r="Q85" s="51"/>
      <c r="R85" s="47"/>
      <c r="S85" s="51">
        <v>315</v>
      </c>
      <c r="T85" s="47"/>
      <c r="U85" s="47"/>
      <c r="V85" s="51">
        <v>318</v>
      </c>
      <c r="W85" s="47"/>
      <c r="X85" s="51">
        <v>319</v>
      </c>
      <c r="Y85" s="47"/>
      <c r="Z85" s="47"/>
      <c r="AA85" s="53">
        <v>2988</v>
      </c>
      <c r="AB85" s="47"/>
      <c r="AC85" s="48"/>
      <c r="AD85" s="52" t="s">
        <v>111</v>
      </c>
      <c r="AE85" s="47"/>
      <c r="AF85" s="48"/>
      <c r="AI85" s="11" t="s">
        <v>17</v>
      </c>
      <c r="AJ85" s="9"/>
      <c r="AK85" s="9" t="s">
        <v>18</v>
      </c>
      <c r="AM85" s="9" t="s">
        <v>19</v>
      </c>
      <c r="AN85" s="9" t="s">
        <v>20</v>
      </c>
      <c r="AP85" s="9"/>
      <c r="AQ85" s="9"/>
      <c r="AR85" s="9"/>
      <c r="AS85" s="10"/>
      <c r="AT85" s="9"/>
      <c r="AU85" s="9"/>
      <c r="AV85" s="9"/>
      <c r="AW85" s="10"/>
      <c r="AX85" s="9"/>
      <c r="AY85" s="9"/>
      <c r="AZ85" s="9"/>
      <c r="BB85" s="10" t="s">
        <v>112</v>
      </c>
      <c r="BC85" s="10"/>
      <c r="BD85" s="10" t="s">
        <v>113</v>
      </c>
      <c r="BE85" s="10"/>
      <c r="BF85" s="10" t="s">
        <v>112</v>
      </c>
      <c r="BG85" s="10"/>
      <c r="BH85" s="10" t="s">
        <v>113</v>
      </c>
      <c r="BI85" s="10"/>
      <c r="BJ85" s="10" t="s">
        <v>112</v>
      </c>
      <c r="BK85" s="10"/>
      <c r="BL85" s="10" t="s">
        <v>113</v>
      </c>
    </row>
    <row r="86" spans="1:64" ht="12.75" customHeight="1" x14ac:dyDescent="0.25">
      <c r="A86" s="18">
        <v>5</v>
      </c>
      <c r="B86" s="17" t="str">
        <f>$W1</f>
        <v>Brian Stoops</v>
      </c>
      <c r="C86" s="60">
        <f>$W75</f>
        <v>0</v>
      </c>
      <c r="D86" s="55"/>
      <c r="E86" s="61"/>
      <c r="F86" s="60">
        <f>$X75</f>
        <v>12480</v>
      </c>
      <c r="G86" s="61"/>
      <c r="H86" s="26">
        <f t="shared" si="252"/>
        <v>1</v>
      </c>
      <c r="J86" s="22">
        <v>2002</v>
      </c>
      <c r="K86" s="51">
        <v>187</v>
      </c>
      <c r="L86" s="51"/>
      <c r="M86" s="51">
        <v>262</v>
      </c>
      <c r="N86" s="51"/>
      <c r="O86" s="51"/>
      <c r="P86" s="51">
        <v>297</v>
      </c>
      <c r="Q86" s="51"/>
      <c r="R86" s="47"/>
      <c r="S86" s="51">
        <v>306</v>
      </c>
      <c r="T86" s="47"/>
      <c r="U86" s="47"/>
      <c r="V86" s="51">
        <v>312</v>
      </c>
      <c r="W86" s="47"/>
      <c r="X86" s="51">
        <v>313</v>
      </c>
      <c r="Y86" s="47"/>
      <c r="Z86" s="47"/>
      <c r="AA86" s="53">
        <v>2976</v>
      </c>
      <c r="AB86" s="47"/>
      <c r="AC86" s="48"/>
      <c r="AD86" s="52" t="s">
        <v>114</v>
      </c>
      <c r="AE86" s="47"/>
      <c r="AF86" s="48"/>
      <c r="AI86" s="13">
        <v>1</v>
      </c>
      <c r="AJ86" s="3" t="str">
        <f t="shared" ref="AJ86:AJ102" si="253">B3</f>
        <v>Duke</v>
      </c>
      <c r="AM86" s="5">
        <v>0</v>
      </c>
      <c r="AN86" s="5">
        <v>1</v>
      </c>
      <c r="AP86" s="5"/>
      <c r="AQ86" s="5"/>
      <c r="AR86" s="5"/>
      <c r="AT86" s="5"/>
      <c r="AU86" s="5"/>
      <c r="AV86" s="5"/>
      <c r="AX86" s="5"/>
      <c r="AY86" s="5"/>
      <c r="AZ86" s="5"/>
      <c r="BB86" s="3">
        <f t="shared" ref="BB86:BB101" si="254">IF($AN86=1,$AP86-$AT86,)</f>
        <v>0</v>
      </c>
      <c r="BD86" s="3">
        <f t="shared" ref="BD86:BD101" si="255">IF($AN86=1,($AP86-$AT86)*(6-$AM86),)</f>
        <v>0</v>
      </c>
      <c r="BF86" s="3" t="str">
        <f t="shared" ref="BF86:BF101" si="256">IF(AND($AZ$83&gt;0,$AN86=1),$AP86-$AX86,"")</f>
        <v/>
      </c>
      <c r="BH86" s="3" t="str">
        <f t="shared" ref="BH86:BH101" si="257">IF(AND($AZ$83&gt;0,$AN86=1),($AP86-$AX86)*(6-$AM86),"")</f>
        <v/>
      </c>
      <c r="BJ86" s="3" t="str">
        <f t="shared" ref="BJ86:BJ101" si="258">IF(AND($AZ$83&gt;0,$AN86=1),$AT86-$AX86,"")</f>
        <v/>
      </c>
      <c r="BL86" s="3" t="str">
        <f t="shared" ref="BL86:BL101" si="259">IF(AND($AZ$83&gt;0,$AN86=1),($AT86-$AX86)*(6-$AM86),"")</f>
        <v/>
      </c>
    </row>
    <row r="87" spans="1:64" ht="12.75" customHeight="1" x14ac:dyDescent="0.25">
      <c r="A87" s="18">
        <v>6</v>
      </c>
      <c r="B87" s="17" t="str">
        <f>$AA1</f>
        <v>Lindsay Ringgold</v>
      </c>
      <c r="C87" s="60">
        <f>$AA75</f>
        <v>0</v>
      </c>
      <c r="D87" s="55"/>
      <c r="E87" s="61"/>
      <c r="F87" s="60">
        <f>$AB75</f>
        <v>12480</v>
      </c>
      <c r="G87" s="61"/>
      <c r="H87" s="26">
        <f t="shared" si="252"/>
        <v>1</v>
      </c>
      <c r="J87" s="22">
        <v>2003</v>
      </c>
      <c r="K87" s="51">
        <v>174</v>
      </c>
      <c r="L87" s="51"/>
      <c r="M87" s="51">
        <v>241</v>
      </c>
      <c r="N87" s="51"/>
      <c r="O87" s="51"/>
      <c r="P87" s="51">
        <v>260</v>
      </c>
      <c r="Q87" s="51"/>
      <c r="R87" s="47"/>
      <c r="S87" s="51">
        <v>269</v>
      </c>
      <c r="T87" s="47"/>
      <c r="U87" s="47"/>
      <c r="V87" s="51">
        <v>274</v>
      </c>
      <c r="W87" s="47"/>
      <c r="X87" s="51">
        <v>277</v>
      </c>
      <c r="Y87" s="47"/>
      <c r="Z87" s="47"/>
      <c r="AA87" s="53">
        <v>3137</v>
      </c>
      <c r="AB87" s="47"/>
      <c r="AC87" s="48"/>
      <c r="AD87" s="52" t="s">
        <v>0</v>
      </c>
      <c r="AE87" s="47"/>
      <c r="AF87" s="48"/>
      <c r="AI87" s="13">
        <v>16</v>
      </c>
      <c r="AJ87" s="3" t="str">
        <f t="shared" si="253"/>
        <v>Siena</v>
      </c>
      <c r="AM87" s="5">
        <v>0</v>
      </c>
      <c r="AN87" s="5">
        <v>1</v>
      </c>
      <c r="AP87" s="5"/>
      <c r="AQ87" s="5"/>
      <c r="AR87" s="5"/>
      <c r="AT87" s="5"/>
      <c r="AU87" s="5"/>
      <c r="AV87" s="5"/>
      <c r="AX87" s="5"/>
      <c r="AY87" s="5"/>
      <c r="AZ87" s="5"/>
      <c r="BB87" s="3">
        <f t="shared" si="254"/>
        <v>0</v>
      </c>
      <c r="BD87" s="3">
        <f t="shared" si="255"/>
        <v>0</v>
      </c>
      <c r="BF87" s="3" t="str">
        <f t="shared" si="256"/>
        <v/>
      </c>
      <c r="BH87" s="3" t="str">
        <f t="shared" si="257"/>
        <v/>
      </c>
      <c r="BJ87" s="3" t="str">
        <f t="shared" si="258"/>
        <v/>
      </c>
      <c r="BL87" s="3" t="str">
        <f t="shared" si="259"/>
        <v/>
      </c>
    </row>
    <row r="88" spans="1:64" ht="12.75" customHeight="1" x14ac:dyDescent="0.25">
      <c r="A88" s="18">
        <v>7</v>
      </c>
      <c r="B88" s="17" t="str">
        <f>$AE1</f>
        <v>Jason Fry</v>
      </c>
      <c r="C88" s="60">
        <f>$AE75</f>
        <v>0</v>
      </c>
      <c r="D88" s="55"/>
      <c r="E88" s="61"/>
      <c r="F88" s="60">
        <f>$AF75</f>
        <v>12480</v>
      </c>
      <c r="G88" s="61"/>
      <c r="H88" s="26">
        <f t="shared" si="252"/>
        <v>1</v>
      </c>
      <c r="J88" s="22">
        <v>2004</v>
      </c>
      <c r="K88" s="51">
        <v>162</v>
      </c>
      <c r="L88" s="51"/>
      <c r="M88" s="51">
        <v>235</v>
      </c>
      <c r="N88" s="51"/>
      <c r="O88" s="51"/>
      <c r="P88" s="51">
        <v>263</v>
      </c>
      <c r="Q88" s="51"/>
      <c r="R88" s="47"/>
      <c r="S88" s="51">
        <v>271</v>
      </c>
      <c r="T88" s="47"/>
      <c r="U88" s="47"/>
      <c r="V88" s="51">
        <v>276</v>
      </c>
      <c r="W88" s="47"/>
      <c r="X88" s="51">
        <v>278</v>
      </c>
      <c r="Y88" s="47"/>
      <c r="Z88" s="47"/>
      <c r="AA88" s="53">
        <v>3077</v>
      </c>
      <c r="AB88" s="47"/>
      <c r="AC88" s="48"/>
      <c r="AD88" s="52" t="s">
        <v>115</v>
      </c>
      <c r="AE88" s="47"/>
      <c r="AF88" s="48"/>
      <c r="AI88" s="13">
        <v>8</v>
      </c>
      <c r="AJ88" s="3" t="str">
        <f t="shared" si="253"/>
        <v>Ohio St.</v>
      </c>
      <c r="AM88" s="5">
        <v>0</v>
      </c>
      <c r="AN88" s="5">
        <v>1</v>
      </c>
      <c r="AP88" s="5"/>
      <c r="AQ88" s="5"/>
      <c r="AR88" s="5"/>
      <c r="AT88" s="5"/>
      <c r="AU88" s="5"/>
      <c r="AV88" s="5"/>
      <c r="AX88" s="5"/>
      <c r="AY88" s="5"/>
      <c r="AZ88" s="5"/>
      <c r="BB88" s="3">
        <f t="shared" si="254"/>
        <v>0</v>
      </c>
      <c r="BD88" s="3">
        <f t="shared" si="255"/>
        <v>0</v>
      </c>
      <c r="BF88" s="3" t="str">
        <f t="shared" si="256"/>
        <v/>
      </c>
      <c r="BH88" s="3" t="str">
        <f t="shared" si="257"/>
        <v/>
      </c>
      <c r="BJ88" s="3" t="str">
        <f t="shared" si="258"/>
        <v/>
      </c>
      <c r="BL88" s="3" t="str">
        <f t="shared" si="259"/>
        <v/>
      </c>
    </row>
    <row r="89" spans="1:64" ht="12.75" customHeight="1" x14ac:dyDescent="0.25">
      <c r="A89" s="18">
        <v>8</v>
      </c>
      <c r="B89" s="17" t="str">
        <f>$AI1</f>
        <v>Damon Gulczynski</v>
      </c>
      <c r="C89" s="60">
        <f>$AI75</f>
        <v>0</v>
      </c>
      <c r="D89" s="55"/>
      <c r="E89" s="61"/>
      <c r="F89" s="60">
        <f>$AJ75</f>
        <v>12480</v>
      </c>
      <c r="G89" s="61"/>
      <c r="H89" s="26">
        <f t="shared" si="252"/>
        <v>1</v>
      </c>
      <c r="J89" s="22">
        <v>2005</v>
      </c>
      <c r="K89" s="51">
        <v>182</v>
      </c>
      <c r="L89" s="51"/>
      <c r="M89" s="51">
        <v>254</v>
      </c>
      <c r="N89" s="51"/>
      <c r="O89" s="51"/>
      <c r="P89" s="51">
        <v>283</v>
      </c>
      <c r="Q89" s="51"/>
      <c r="R89" s="47"/>
      <c r="S89" s="51">
        <v>294</v>
      </c>
      <c r="T89" s="47"/>
      <c r="U89" s="47"/>
      <c r="V89" s="51">
        <v>296</v>
      </c>
      <c r="W89" s="47"/>
      <c r="X89" s="51">
        <v>297</v>
      </c>
      <c r="Y89" s="47"/>
      <c r="Z89" s="47"/>
      <c r="AA89" s="53">
        <v>3103</v>
      </c>
      <c r="AB89" s="47"/>
      <c r="AC89" s="48"/>
      <c r="AD89" s="52" t="s">
        <v>0</v>
      </c>
      <c r="AE89" s="47"/>
      <c r="AF89" s="48"/>
      <c r="AI89" s="13">
        <v>9</v>
      </c>
      <c r="AJ89" s="3" t="str">
        <f t="shared" si="253"/>
        <v>TCU</v>
      </c>
      <c r="AM89" s="5">
        <v>0</v>
      </c>
      <c r="AN89" s="5">
        <v>1</v>
      </c>
      <c r="AP89" s="5"/>
      <c r="AQ89" s="5"/>
      <c r="AR89" s="5"/>
      <c r="AT89" s="5"/>
      <c r="AU89" s="5"/>
      <c r="AV89" s="5"/>
      <c r="AX89" s="5"/>
      <c r="AY89" s="5"/>
      <c r="AZ89" s="5"/>
      <c r="BB89" s="3">
        <f t="shared" si="254"/>
        <v>0</v>
      </c>
      <c r="BD89" s="3">
        <f t="shared" si="255"/>
        <v>0</v>
      </c>
      <c r="BF89" s="3" t="str">
        <f t="shared" si="256"/>
        <v/>
      </c>
      <c r="BH89" s="3" t="str">
        <f t="shared" si="257"/>
        <v/>
      </c>
      <c r="BJ89" s="3" t="str">
        <f t="shared" si="258"/>
        <v/>
      </c>
      <c r="BL89" s="3" t="str">
        <f t="shared" si="259"/>
        <v/>
      </c>
    </row>
    <row r="90" spans="1:64" ht="12.75" customHeight="1" x14ac:dyDescent="0.25">
      <c r="A90" s="18">
        <v>9</v>
      </c>
      <c r="B90" s="17" t="str">
        <f>$AM1</f>
        <v>Grant Lippy</v>
      </c>
      <c r="C90" s="60">
        <f>$AM75</f>
        <v>0</v>
      </c>
      <c r="D90" s="55"/>
      <c r="E90" s="61"/>
      <c r="F90" s="60">
        <f>$AN75</f>
        <v>12480</v>
      </c>
      <c r="G90" s="61"/>
      <c r="H90" s="26">
        <f t="shared" si="252"/>
        <v>1</v>
      </c>
      <c r="J90" s="22">
        <v>2006</v>
      </c>
      <c r="K90" s="51">
        <v>195</v>
      </c>
      <c r="L90" s="51"/>
      <c r="M90" s="51">
        <v>266</v>
      </c>
      <c r="N90" s="51"/>
      <c r="O90" s="51"/>
      <c r="P90" s="51">
        <v>291</v>
      </c>
      <c r="Q90" s="51"/>
      <c r="R90" s="47"/>
      <c r="S90" s="51">
        <v>311</v>
      </c>
      <c r="T90" s="47"/>
      <c r="U90" s="47"/>
      <c r="V90" s="51">
        <v>316</v>
      </c>
      <c r="W90" s="47"/>
      <c r="X90" s="51">
        <v>319</v>
      </c>
      <c r="Y90" s="47"/>
      <c r="Z90" s="47"/>
      <c r="AA90" s="53">
        <v>2987</v>
      </c>
      <c r="AB90" s="47"/>
      <c r="AC90" s="48"/>
      <c r="AD90" s="52" t="s">
        <v>116</v>
      </c>
      <c r="AE90" s="47"/>
      <c r="AF90" s="48"/>
      <c r="AI90" s="13">
        <v>5</v>
      </c>
      <c r="AJ90" s="3" t="str">
        <f t="shared" si="253"/>
        <v>St.John's</v>
      </c>
      <c r="AM90" s="5">
        <v>0</v>
      </c>
      <c r="AN90" s="5">
        <v>1</v>
      </c>
      <c r="AP90" s="5"/>
      <c r="AQ90" s="5"/>
      <c r="AR90" s="5"/>
      <c r="AT90" s="5"/>
      <c r="AU90" s="5"/>
      <c r="AV90" s="5"/>
      <c r="AX90" s="5"/>
      <c r="AY90" s="5"/>
      <c r="AZ90" s="5"/>
      <c r="BB90" s="3">
        <f t="shared" si="254"/>
        <v>0</v>
      </c>
      <c r="BD90" s="3">
        <f t="shared" si="255"/>
        <v>0</v>
      </c>
      <c r="BF90" s="3" t="str">
        <f t="shared" si="256"/>
        <v/>
      </c>
      <c r="BH90" s="3" t="str">
        <f t="shared" si="257"/>
        <v/>
      </c>
      <c r="BJ90" s="3" t="str">
        <f t="shared" si="258"/>
        <v/>
      </c>
      <c r="BL90" s="3" t="str">
        <f t="shared" si="259"/>
        <v/>
      </c>
    </row>
    <row r="91" spans="1:64" ht="12.75" customHeight="1" x14ac:dyDescent="0.25">
      <c r="A91" s="18">
        <v>10</v>
      </c>
      <c r="B91" s="17" t="str">
        <f>$AQ1</f>
        <v>Tom Huppmann</v>
      </c>
      <c r="C91" s="60">
        <f>$AQ75</f>
        <v>0</v>
      </c>
      <c r="D91" s="55"/>
      <c r="E91" s="61"/>
      <c r="F91" s="60">
        <f>$AR75</f>
        <v>12480</v>
      </c>
      <c r="G91" s="61"/>
      <c r="H91" s="26">
        <f t="shared" si="252"/>
        <v>1</v>
      </c>
      <c r="J91" s="22">
        <v>2007</v>
      </c>
      <c r="K91" s="51">
        <v>157</v>
      </c>
      <c r="L91" s="51"/>
      <c r="M91" s="51">
        <v>208</v>
      </c>
      <c r="N91" s="51"/>
      <c r="O91" s="51"/>
      <c r="P91" s="51">
        <v>221</v>
      </c>
      <c r="Q91" s="51"/>
      <c r="R91" s="47"/>
      <c r="S91" s="51">
        <v>227</v>
      </c>
      <c r="T91" s="47"/>
      <c r="U91" s="47"/>
      <c r="V91" s="51">
        <v>229</v>
      </c>
      <c r="W91" s="47"/>
      <c r="X91" s="51">
        <v>230</v>
      </c>
      <c r="Y91" s="47"/>
      <c r="Z91" s="47"/>
      <c r="AA91" s="53">
        <v>3223</v>
      </c>
      <c r="AB91" s="47"/>
      <c r="AC91" s="48"/>
      <c r="AD91" s="49" t="s">
        <v>117</v>
      </c>
      <c r="AE91" s="47"/>
      <c r="AF91" s="48"/>
      <c r="AI91" s="13">
        <v>12</v>
      </c>
      <c r="AJ91" s="3" t="str">
        <f t="shared" si="253"/>
        <v>Northern Iowa</v>
      </c>
      <c r="AM91" s="5">
        <v>0</v>
      </c>
      <c r="AN91" s="5">
        <v>1</v>
      </c>
      <c r="AP91" s="5"/>
      <c r="AQ91" s="5"/>
      <c r="AR91" s="5"/>
      <c r="AT91" s="5"/>
      <c r="AU91" s="5"/>
      <c r="AV91" s="5"/>
      <c r="AX91" s="5"/>
      <c r="AY91" s="5"/>
      <c r="AZ91" s="5"/>
      <c r="BB91" s="3">
        <f t="shared" si="254"/>
        <v>0</v>
      </c>
      <c r="BD91" s="3">
        <f t="shared" si="255"/>
        <v>0</v>
      </c>
      <c r="BF91" s="3" t="str">
        <f t="shared" si="256"/>
        <v/>
      </c>
      <c r="BH91" s="3" t="str">
        <f t="shared" si="257"/>
        <v/>
      </c>
      <c r="BJ91" s="3" t="str">
        <f t="shared" si="258"/>
        <v/>
      </c>
      <c r="BL91" s="3" t="str">
        <f t="shared" si="259"/>
        <v/>
      </c>
    </row>
    <row r="92" spans="1:64" ht="12.75" customHeight="1" x14ac:dyDescent="0.25">
      <c r="A92" s="18">
        <v>11</v>
      </c>
      <c r="B92" s="17" t="str">
        <f>$AU1</f>
        <v>Jess Cearfoss</v>
      </c>
      <c r="C92" s="60">
        <f>$AU75</f>
        <v>0</v>
      </c>
      <c r="D92" s="55"/>
      <c r="E92" s="61"/>
      <c r="F92" s="60">
        <f>$AV75</f>
        <v>12480</v>
      </c>
      <c r="G92" s="61"/>
      <c r="H92" s="26">
        <f t="shared" si="252"/>
        <v>1</v>
      </c>
      <c r="J92" s="22">
        <v>2008</v>
      </c>
      <c r="K92" s="50">
        <v>186</v>
      </c>
      <c r="L92" s="51"/>
      <c r="M92" s="51">
        <v>256</v>
      </c>
      <c r="N92" s="51"/>
      <c r="O92" s="51"/>
      <c r="P92" s="51">
        <v>278</v>
      </c>
      <c r="Q92" s="51"/>
      <c r="R92" s="47"/>
      <c r="S92" s="51">
        <v>282</v>
      </c>
      <c r="T92" s="47"/>
      <c r="U92" s="47"/>
      <c r="V92" s="51">
        <v>284</v>
      </c>
      <c r="W92" s="47"/>
      <c r="X92" s="63">
        <v>285</v>
      </c>
      <c r="Y92" s="47"/>
      <c r="Z92" s="64"/>
      <c r="AA92" s="53">
        <v>3081</v>
      </c>
      <c r="AB92" s="47"/>
      <c r="AC92" s="48"/>
      <c r="AD92" s="49" t="s">
        <v>116</v>
      </c>
      <c r="AE92" s="47"/>
      <c r="AF92" s="48"/>
      <c r="AI92" s="13">
        <v>4</v>
      </c>
      <c r="AJ92" s="3" t="str">
        <f t="shared" si="253"/>
        <v>Kansas</v>
      </c>
      <c r="AM92" s="5">
        <v>0</v>
      </c>
      <c r="AN92" s="5">
        <v>1</v>
      </c>
      <c r="AP92" s="5"/>
      <c r="AQ92" s="5"/>
      <c r="AR92" s="5"/>
      <c r="AT92" s="5"/>
      <c r="AU92" s="5"/>
      <c r="AV92" s="5"/>
      <c r="AX92" s="5"/>
      <c r="AY92" s="5"/>
      <c r="AZ92" s="5"/>
      <c r="BB92" s="3">
        <f t="shared" si="254"/>
        <v>0</v>
      </c>
      <c r="BD92" s="3">
        <f t="shared" si="255"/>
        <v>0</v>
      </c>
      <c r="BF92" s="3" t="str">
        <f t="shared" si="256"/>
        <v/>
      </c>
      <c r="BH92" s="3" t="str">
        <f t="shared" si="257"/>
        <v/>
      </c>
      <c r="BJ92" s="3" t="str">
        <f t="shared" si="258"/>
        <v/>
      </c>
      <c r="BL92" s="3" t="str">
        <f t="shared" si="259"/>
        <v/>
      </c>
    </row>
    <row r="93" spans="1:64" ht="12.75" customHeight="1" x14ac:dyDescent="0.25">
      <c r="A93" s="18">
        <v>12</v>
      </c>
      <c r="B93" s="17" t="str">
        <f>$AY1</f>
        <v>Reilly Donovan</v>
      </c>
      <c r="C93" s="60">
        <f>$AY75</f>
        <v>0</v>
      </c>
      <c r="D93" s="55"/>
      <c r="E93" s="61"/>
      <c r="F93" s="60">
        <f>$AZ75</f>
        <v>12480</v>
      </c>
      <c r="G93" s="61"/>
      <c r="H93" s="26">
        <f t="shared" si="252"/>
        <v>1</v>
      </c>
      <c r="J93" s="22">
        <v>2009</v>
      </c>
      <c r="K93" s="51">
        <v>190</v>
      </c>
      <c r="L93" s="51"/>
      <c r="M93" s="51">
        <v>239</v>
      </c>
      <c r="N93" s="51"/>
      <c r="O93" s="51"/>
      <c r="P93" s="51">
        <v>253</v>
      </c>
      <c r="Q93" s="51"/>
      <c r="R93" s="47"/>
      <c r="S93" s="51">
        <v>260</v>
      </c>
      <c r="T93" s="47"/>
      <c r="U93" s="47"/>
      <c r="V93" s="51">
        <v>263</v>
      </c>
      <c r="W93" s="47"/>
      <c r="X93" s="63">
        <v>264</v>
      </c>
      <c r="Y93" s="47"/>
      <c r="Z93" s="64"/>
      <c r="AA93" s="62">
        <v>3204</v>
      </c>
      <c r="AB93" s="47"/>
      <c r="AC93" s="48"/>
      <c r="AD93" s="68" t="s">
        <v>118</v>
      </c>
      <c r="AE93" s="47"/>
      <c r="AF93" s="48"/>
      <c r="AI93" s="13">
        <v>13</v>
      </c>
      <c r="AJ93" s="3" t="str">
        <f t="shared" si="253"/>
        <v>Cal Baptist</v>
      </c>
      <c r="AM93" s="5">
        <v>0</v>
      </c>
      <c r="AN93" s="5">
        <v>1</v>
      </c>
      <c r="AP93" s="5"/>
      <c r="AQ93" s="5"/>
      <c r="AR93" s="5"/>
      <c r="AT93" s="5"/>
      <c r="AU93" s="5"/>
      <c r="AV93" s="5"/>
      <c r="AX93" s="5"/>
      <c r="AY93" s="5"/>
      <c r="AZ93" s="5"/>
      <c r="BB93" s="3">
        <f t="shared" si="254"/>
        <v>0</v>
      </c>
      <c r="BD93" s="3">
        <f t="shared" si="255"/>
        <v>0</v>
      </c>
      <c r="BF93" s="3" t="str">
        <f t="shared" si="256"/>
        <v/>
      </c>
      <c r="BH93" s="3" t="str">
        <f t="shared" si="257"/>
        <v/>
      </c>
      <c r="BJ93" s="3" t="str">
        <f t="shared" si="258"/>
        <v/>
      </c>
      <c r="BL93" s="3" t="str">
        <f t="shared" si="259"/>
        <v/>
      </c>
    </row>
    <row r="94" spans="1:64" ht="12.75" customHeight="1" x14ac:dyDescent="0.25">
      <c r="A94" s="18">
        <v>13</v>
      </c>
      <c r="B94" s="17" t="str">
        <f>$BC1</f>
        <v>Brendan Ford</v>
      </c>
      <c r="C94" s="60">
        <f>$BC75</f>
        <v>0</v>
      </c>
      <c r="D94" s="55"/>
      <c r="E94" s="61"/>
      <c r="F94" s="60">
        <f>$BD75</f>
        <v>12480</v>
      </c>
      <c r="G94" s="61"/>
      <c r="H94" s="26">
        <f t="shared" si="252"/>
        <v>1</v>
      </c>
      <c r="J94" s="22">
        <v>2010</v>
      </c>
      <c r="K94" s="51">
        <v>192</v>
      </c>
      <c r="L94" s="51"/>
      <c r="M94" s="51">
        <v>272</v>
      </c>
      <c r="N94" s="51"/>
      <c r="O94" s="51"/>
      <c r="P94" s="51">
        <v>297</v>
      </c>
      <c r="Q94" s="51"/>
      <c r="R94" s="47"/>
      <c r="S94" s="51">
        <v>310</v>
      </c>
      <c r="T94" s="47"/>
      <c r="U94" s="47"/>
      <c r="V94" s="51">
        <v>316</v>
      </c>
      <c r="W94" s="47"/>
      <c r="X94" s="51">
        <v>317</v>
      </c>
      <c r="Y94" s="47"/>
      <c r="Z94" s="47"/>
      <c r="AA94" s="53">
        <v>2980</v>
      </c>
      <c r="AB94" s="47"/>
      <c r="AC94" s="48"/>
      <c r="AD94" s="49" t="s">
        <v>115</v>
      </c>
      <c r="AE94" s="47"/>
      <c r="AF94" s="48"/>
      <c r="AI94" s="13">
        <v>6</v>
      </c>
      <c r="AJ94" s="3" t="str">
        <f t="shared" si="253"/>
        <v>Louisville</v>
      </c>
      <c r="AM94" s="5">
        <v>0</v>
      </c>
      <c r="AN94" s="5">
        <v>1</v>
      </c>
      <c r="AP94" s="5"/>
      <c r="AQ94" s="5"/>
      <c r="AR94" s="5"/>
      <c r="AT94" s="5"/>
      <c r="AU94" s="5"/>
      <c r="AV94" s="5"/>
      <c r="AX94" s="5"/>
      <c r="AY94" s="5"/>
      <c r="AZ94" s="5"/>
      <c r="BB94" s="3">
        <f t="shared" si="254"/>
        <v>0</v>
      </c>
      <c r="BD94" s="3">
        <f t="shared" si="255"/>
        <v>0</v>
      </c>
      <c r="BF94" s="3" t="str">
        <f t="shared" si="256"/>
        <v/>
      </c>
      <c r="BH94" s="3" t="str">
        <f t="shared" si="257"/>
        <v/>
      </c>
      <c r="BJ94" s="3" t="str">
        <f t="shared" si="258"/>
        <v/>
      </c>
      <c r="BL94" s="3" t="str">
        <f t="shared" si="259"/>
        <v/>
      </c>
    </row>
    <row r="95" spans="1:64" ht="12.75" customHeight="1" x14ac:dyDescent="0.25">
      <c r="A95" s="18">
        <v>14</v>
      </c>
      <c r="B95" s="17" t="str">
        <f>$BG1</f>
        <v>James McKeown</v>
      </c>
      <c r="C95" s="60">
        <f>$BG75</f>
        <v>0</v>
      </c>
      <c r="D95" s="55"/>
      <c r="E95" s="61"/>
      <c r="F95" s="60">
        <f>$BH75</f>
        <v>12480</v>
      </c>
      <c r="G95" s="61"/>
      <c r="H95" s="26">
        <f t="shared" si="252"/>
        <v>1</v>
      </c>
      <c r="J95" s="22">
        <v>2011</v>
      </c>
      <c r="K95" s="51">
        <v>179</v>
      </c>
      <c r="L95" s="51"/>
      <c r="M95" s="51">
        <v>259</v>
      </c>
      <c r="N95" s="51"/>
      <c r="O95" s="51"/>
      <c r="P95" s="51">
        <v>295</v>
      </c>
      <c r="Q95" s="51"/>
      <c r="R95" s="47"/>
      <c r="S95" s="51">
        <v>321</v>
      </c>
      <c r="T95" s="47"/>
      <c r="U95" s="47"/>
      <c r="V95" s="51">
        <v>332</v>
      </c>
      <c r="W95" s="47"/>
      <c r="X95" s="51">
        <v>335</v>
      </c>
      <c r="Y95" s="47"/>
      <c r="Z95" s="47"/>
      <c r="AA95" s="53">
        <v>2881</v>
      </c>
      <c r="AB95" s="47"/>
      <c r="AC95" s="48"/>
      <c r="AD95" s="49" t="s">
        <v>0</v>
      </c>
      <c r="AE95" s="47"/>
      <c r="AF95" s="48"/>
      <c r="AI95" s="13">
        <v>11</v>
      </c>
      <c r="AJ95" s="3" t="str">
        <f t="shared" si="253"/>
        <v>South Florida</v>
      </c>
      <c r="AM95" s="5">
        <v>0</v>
      </c>
      <c r="AN95" s="5">
        <v>1</v>
      </c>
      <c r="AP95" s="5"/>
      <c r="AQ95" s="5"/>
      <c r="AR95" s="5"/>
      <c r="AT95" s="5"/>
      <c r="AU95" s="5"/>
      <c r="AV95" s="5"/>
      <c r="AX95" s="5"/>
      <c r="AY95" s="5"/>
      <c r="AZ95" s="5"/>
      <c r="BB95" s="3">
        <f t="shared" si="254"/>
        <v>0</v>
      </c>
      <c r="BD95" s="3">
        <f t="shared" si="255"/>
        <v>0</v>
      </c>
      <c r="BF95" s="3" t="str">
        <f t="shared" si="256"/>
        <v/>
      </c>
      <c r="BH95" s="3" t="str">
        <f t="shared" si="257"/>
        <v/>
      </c>
      <c r="BJ95" s="3" t="str">
        <f t="shared" si="258"/>
        <v/>
      </c>
      <c r="BL95" s="3" t="str">
        <f t="shared" si="259"/>
        <v/>
      </c>
    </row>
    <row r="96" spans="1:64" ht="12.75" customHeight="1" x14ac:dyDescent="0.25">
      <c r="A96" s="27">
        <v>15</v>
      </c>
      <c r="B96" s="17" t="str">
        <f>$BK1</f>
        <v>Jared Ashton</v>
      </c>
      <c r="C96" s="60">
        <f>$BK75</f>
        <v>0</v>
      </c>
      <c r="D96" s="55"/>
      <c r="E96" s="61"/>
      <c r="F96" s="60">
        <f>$BL75</f>
        <v>12480</v>
      </c>
      <c r="G96" s="61"/>
      <c r="H96" s="26">
        <f t="shared" si="252"/>
        <v>1</v>
      </c>
      <c r="J96" s="22">
        <v>2012</v>
      </c>
      <c r="K96" s="51">
        <v>210</v>
      </c>
      <c r="L96" s="51"/>
      <c r="M96" s="51">
        <v>283</v>
      </c>
      <c r="N96" s="51"/>
      <c r="O96" s="51"/>
      <c r="P96" s="51">
        <v>304</v>
      </c>
      <c r="Q96" s="51"/>
      <c r="R96" s="47"/>
      <c r="S96" s="51">
        <v>313</v>
      </c>
      <c r="T96" s="47"/>
      <c r="U96" s="47"/>
      <c r="V96" s="51">
        <v>316</v>
      </c>
      <c r="W96" s="47"/>
      <c r="X96" s="51">
        <v>317</v>
      </c>
      <c r="Y96" s="47"/>
      <c r="Z96" s="47"/>
      <c r="AA96" s="53">
        <v>3008</v>
      </c>
      <c r="AB96" s="47"/>
      <c r="AC96" s="48"/>
      <c r="AD96" s="49" t="s">
        <v>119</v>
      </c>
      <c r="AE96" s="47"/>
      <c r="AF96" s="48"/>
      <c r="AI96" s="13">
        <v>3</v>
      </c>
      <c r="AJ96" s="3" t="str">
        <f t="shared" si="253"/>
        <v>Michigan St.</v>
      </c>
      <c r="AM96" s="5">
        <v>0</v>
      </c>
      <c r="AN96" s="5">
        <v>1</v>
      </c>
      <c r="AP96" s="5"/>
      <c r="AQ96" s="5"/>
      <c r="AR96" s="5"/>
      <c r="AT96" s="5"/>
      <c r="AU96" s="5"/>
      <c r="AV96" s="5"/>
      <c r="AX96" s="5"/>
      <c r="AY96" s="5"/>
      <c r="AZ96" s="5"/>
      <c r="BB96" s="3">
        <f t="shared" si="254"/>
        <v>0</v>
      </c>
      <c r="BD96" s="3">
        <f t="shared" si="255"/>
        <v>0</v>
      </c>
      <c r="BF96" s="3" t="str">
        <f t="shared" si="256"/>
        <v/>
      </c>
      <c r="BH96" s="3" t="str">
        <f t="shared" si="257"/>
        <v/>
      </c>
      <c r="BJ96" s="3" t="str">
        <f t="shared" si="258"/>
        <v/>
      </c>
      <c r="BL96" s="3" t="str">
        <f t="shared" si="259"/>
        <v/>
      </c>
    </row>
    <row r="97" spans="1:64" ht="12.75" customHeight="1" x14ac:dyDescent="0.25">
      <c r="A97" s="18">
        <v>16</v>
      </c>
      <c r="B97" s="17" t="str">
        <f>$BO1</f>
        <v>Jeff Coull</v>
      </c>
      <c r="C97" s="60">
        <f>$BO75</f>
        <v>0</v>
      </c>
      <c r="D97" s="55"/>
      <c r="E97" s="61"/>
      <c r="F97" s="60">
        <f>$BP75</f>
        <v>12480</v>
      </c>
      <c r="G97" s="61"/>
      <c r="H97" s="26">
        <f t="shared" si="252"/>
        <v>1</v>
      </c>
      <c r="J97" s="22">
        <v>2013</v>
      </c>
      <c r="K97" s="51">
        <v>208</v>
      </c>
      <c r="L97" s="51"/>
      <c r="M97" s="51">
        <v>289</v>
      </c>
      <c r="N97" s="51"/>
      <c r="O97" s="51"/>
      <c r="P97" s="51">
        <v>317</v>
      </c>
      <c r="Q97" s="51"/>
      <c r="R97" s="47"/>
      <c r="S97" s="51">
        <v>335</v>
      </c>
      <c r="T97" s="47"/>
      <c r="U97" s="47"/>
      <c r="V97" s="51">
        <v>340</v>
      </c>
      <c r="W97" s="47"/>
      <c r="X97" s="51">
        <v>341</v>
      </c>
      <c r="Y97" s="47"/>
      <c r="Z97" s="47"/>
      <c r="AA97" s="53">
        <v>2890</v>
      </c>
      <c r="AB97" s="47"/>
      <c r="AC97" s="48"/>
      <c r="AD97" s="33" t="s">
        <v>5</v>
      </c>
      <c r="AE97" s="4"/>
      <c r="AF97" s="34"/>
      <c r="AI97" s="13">
        <v>14</v>
      </c>
      <c r="AJ97" s="3" t="str">
        <f t="shared" si="253"/>
        <v>North Dakota St.</v>
      </c>
      <c r="AM97" s="5">
        <v>0</v>
      </c>
      <c r="AN97" s="5">
        <v>1</v>
      </c>
      <c r="AP97" s="5"/>
      <c r="AQ97" s="5"/>
      <c r="AR97" s="5"/>
      <c r="AT97" s="5"/>
      <c r="AU97" s="5"/>
      <c r="AV97" s="5"/>
      <c r="AX97" s="5"/>
      <c r="AY97" s="5"/>
      <c r="AZ97" s="5"/>
      <c r="BB97" s="3">
        <f t="shared" si="254"/>
        <v>0</v>
      </c>
      <c r="BD97" s="3">
        <f t="shared" si="255"/>
        <v>0</v>
      </c>
      <c r="BF97" s="3" t="str">
        <f t="shared" si="256"/>
        <v/>
      </c>
      <c r="BH97" s="3" t="str">
        <f t="shared" si="257"/>
        <v/>
      </c>
      <c r="BJ97" s="3" t="str">
        <f t="shared" si="258"/>
        <v/>
      </c>
      <c r="BL97" s="3" t="str">
        <f t="shared" si="259"/>
        <v/>
      </c>
    </row>
    <row r="98" spans="1:64" ht="12.75" customHeight="1" x14ac:dyDescent="0.25">
      <c r="A98" s="18">
        <v>17</v>
      </c>
      <c r="B98" s="17" t="str">
        <f>$BS1</f>
        <v>Matt Umland</v>
      </c>
      <c r="C98" s="60">
        <f>$BS75</f>
        <v>0</v>
      </c>
      <c r="D98" s="55"/>
      <c r="E98" s="61"/>
      <c r="F98" s="60">
        <f>$BT75</f>
        <v>12480</v>
      </c>
      <c r="G98" s="61"/>
      <c r="H98" s="26">
        <f t="shared" si="252"/>
        <v>1</v>
      </c>
      <c r="J98" s="22">
        <v>2014</v>
      </c>
      <c r="K98" s="50">
        <v>190</v>
      </c>
      <c r="L98" s="51"/>
      <c r="M98" s="51">
        <v>269</v>
      </c>
      <c r="N98" s="51"/>
      <c r="O98" s="51"/>
      <c r="P98" s="51">
        <v>305</v>
      </c>
      <c r="Q98" s="51"/>
      <c r="R98" s="47"/>
      <c r="S98" s="51">
        <v>323</v>
      </c>
      <c r="T98" s="47"/>
      <c r="U98" s="47"/>
      <c r="V98" s="51">
        <v>338</v>
      </c>
      <c r="W98" s="47"/>
      <c r="X98" s="51">
        <v>345</v>
      </c>
      <c r="Y98" s="47"/>
      <c r="Z98" s="47"/>
      <c r="AA98" s="53">
        <v>2944</v>
      </c>
      <c r="AB98" s="47"/>
      <c r="AC98" s="48"/>
      <c r="AD98" s="33" t="s">
        <v>5</v>
      </c>
      <c r="AE98" s="4"/>
      <c r="AF98" s="34"/>
      <c r="AI98" s="13">
        <v>7</v>
      </c>
      <c r="AJ98" s="3" t="str">
        <f t="shared" si="253"/>
        <v>UCLA</v>
      </c>
      <c r="AM98" s="5">
        <v>0</v>
      </c>
      <c r="AN98" s="5">
        <v>1</v>
      </c>
      <c r="AP98" s="5"/>
      <c r="AQ98" s="5"/>
      <c r="AR98" s="5"/>
      <c r="AT98" s="5"/>
      <c r="AU98" s="5"/>
      <c r="AV98" s="5"/>
      <c r="AX98" s="5"/>
      <c r="AY98" s="5"/>
      <c r="AZ98" s="5"/>
      <c r="BB98" s="3">
        <f t="shared" si="254"/>
        <v>0</v>
      </c>
      <c r="BD98" s="3">
        <f t="shared" si="255"/>
        <v>0</v>
      </c>
      <c r="BF98" s="3" t="str">
        <f t="shared" si="256"/>
        <v/>
      </c>
      <c r="BH98" s="3" t="str">
        <f t="shared" si="257"/>
        <v/>
      </c>
      <c r="BJ98" s="3" t="str">
        <f t="shared" si="258"/>
        <v/>
      </c>
      <c r="BL98" s="3" t="str">
        <f t="shared" si="259"/>
        <v/>
      </c>
    </row>
    <row r="99" spans="1:64" ht="12.75" customHeight="1" x14ac:dyDescent="0.25">
      <c r="A99" s="18">
        <v>18</v>
      </c>
      <c r="B99" s="17" t="str">
        <f>$BW1</f>
        <v>Kris Culotta</v>
      </c>
      <c r="C99" s="60">
        <f>$BW75</f>
        <v>0</v>
      </c>
      <c r="D99" s="55"/>
      <c r="E99" s="61"/>
      <c r="F99" s="60">
        <f>$BX75</f>
        <v>12480</v>
      </c>
      <c r="G99" s="61"/>
      <c r="H99" s="26">
        <f t="shared" si="252"/>
        <v>1</v>
      </c>
      <c r="J99" s="22">
        <v>2015</v>
      </c>
      <c r="K99" s="50">
        <v>179</v>
      </c>
      <c r="L99" s="51"/>
      <c r="M99" s="51">
        <v>249</v>
      </c>
      <c r="N99" s="51"/>
      <c r="O99" s="51"/>
      <c r="P99" s="51">
        <v>270</v>
      </c>
      <c r="Q99" s="51"/>
      <c r="R99" s="47"/>
      <c r="S99" s="51">
        <v>280</v>
      </c>
      <c r="T99" s="47"/>
      <c r="U99" s="47"/>
      <c r="V99" s="51">
        <v>282</v>
      </c>
      <c r="W99" s="47"/>
      <c r="X99" s="63">
        <v>283</v>
      </c>
      <c r="Y99" s="47"/>
      <c r="Z99" s="64"/>
      <c r="AA99" s="53">
        <v>3111</v>
      </c>
      <c r="AB99" s="47"/>
      <c r="AC99" s="48"/>
      <c r="AD99" s="52" t="s">
        <v>111</v>
      </c>
      <c r="AE99" s="47"/>
      <c r="AF99" s="48"/>
      <c r="AI99" s="13">
        <v>10</v>
      </c>
      <c r="AJ99" s="3" t="str">
        <f t="shared" si="253"/>
        <v>UCF</v>
      </c>
      <c r="AM99" s="5">
        <v>0</v>
      </c>
      <c r="AN99" s="5">
        <v>1</v>
      </c>
      <c r="AP99" s="5"/>
      <c r="AQ99" s="5"/>
      <c r="AR99" s="5"/>
      <c r="AT99" s="5"/>
      <c r="AU99" s="5"/>
      <c r="AV99" s="5"/>
      <c r="AX99" s="5"/>
      <c r="AY99" s="5"/>
      <c r="AZ99" s="5"/>
      <c r="BB99" s="3">
        <f t="shared" si="254"/>
        <v>0</v>
      </c>
      <c r="BD99" s="3">
        <f t="shared" si="255"/>
        <v>0</v>
      </c>
      <c r="BF99" s="3" t="str">
        <f t="shared" si="256"/>
        <v/>
      </c>
      <c r="BH99" s="3" t="str">
        <f t="shared" si="257"/>
        <v/>
      </c>
      <c r="BJ99" s="3" t="str">
        <f t="shared" si="258"/>
        <v/>
      </c>
      <c r="BL99" s="3" t="str">
        <f t="shared" si="259"/>
        <v/>
      </c>
    </row>
    <row r="100" spans="1:64" ht="12.75" customHeight="1" x14ac:dyDescent="0.25">
      <c r="A100" s="18">
        <v>19</v>
      </c>
      <c r="B100" s="17" t="str">
        <f>$CA1</f>
        <v>Noah Keenan</v>
      </c>
      <c r="C100" s="60">
        <f>$CA75</f>
        <v>0</v>
      </c>
      <c r="D100" s="55"/>
      <c r="E100" s="61"/>
      <c r="F100" s="60">
        <f>$CB75</f>
        <v>12480</v>
      </c>
      <c r="G100" s="61"/>
      <c r="H100" s="26">
        <f t="shared" si="252"/>
        <v>1</v>
      </c>
      <c r="J100" s="22">
        <v>2016</v>
      </c>
      <c r="K100" s="50">
        <v>215</v>
      </c>
      <c r="L100" s="51"/>
      <c r="M100" s="51">
        <v>281</v>
      </c>
      <c r="N100" s="51"/>
      <c r="O100" s="51"/>
      <c r="P100" s="51">
        <v>305</v>
      </c>
      <c r="Q100" s="51"/>
      <c r="R100" s="47"/>
      <c r="S100" s="51">
        <v>320</v>
      </c>
      <c r="T100" s="47"/>
      <c r="U100" s="47"/>
      <c r="V100" s="51">
        <v>323</v>
      </c>
      <c r="W100" s="47"/>
      <c r="X100" s="63">
        <v>325</v>
      </c>
      <c r="Y100" s="47"/>
      <c r="Z100" s="64"/>
      <c r="AA100" s="53">
        <v>3001</v>
      </c>
      <c r="AB100" s="47"/>
      <c r="AC100" s="48"/>
      <c r="AD100" s="52" t="s">
        <v>0</v>
      </c>
      <c r="AE100" s="47"/>
      <c r="AF100" s="48"/>
      <c r="AI100" s="13">
        <v>2</v>
      </c>
      <c r="AJ100" s="3" t="str">
        <f t="shared" si="253"/>
        <v>Uconn</v>
      </c>
      <c r="AM100" s="5">
        <v>0</v>
      </c>
      <c r="AN100" s="5">
        <v>1</v>
      </c>
      <c r="AP100" s="5"/>
      <c r="AQ100" s="5"/>
      <c r="AR100" s="5"/>
      <c r="AT100" s="5"/>
      <c r="AU100" s="5"/>
      <c r="AV100" s="5"/>
      <c r="AX100" s="5"/>
      <c r="AY100" s="5"/>
      <c r="AZ100" s="5"/>
      <c r="BB100" s="3">
        <f t="shared" si="254"/>
        <v>0</v>
      </c>
      <c r="BD100" s="3">
        <f t="shared" si="255"/>
        <v>0</v>
      </c>
      <c r="BF100" s="3" t="str">
        <f t="shared" si="256"/>
        <v/>
      </c>
      <c r="BH100" s="3" t="str">
        <f t="shared" si="257"/>
        <v/>
      </c>
      <c r="BJ100" s="3" t="str">
        <f t="shared" si="258"/>
        <v/>
      </c>
      <c r="BL100" s="3" t="str">
        <f t="shared" si="259"/>
        <v/>
      </c>
    </row>
    <row r="101" spans="1:64" ht="12.75" customHeight="1" x14ac:dyDescent="0.25">
      <c r="A101" s="18">
        <v>20</v>
      </c>
      <c r="B101" s="17" t="str">
        <f>$CE1</f>
        <v>Terence Wong</v>
      </c>
      <c r="C101" s="60">
        <f>$CE75</f>
        <v>0</v>
      </c>
      <c r="D101" s="55"/>
      <c r="E101" s="61"/>
      <c r="F101" s="60">
        <f>$CF75</f>
        <v>12480</v>
      </c>
      <c r="G101" s="61"/>
      <c r="H101" s="26">
        <f t="shared" si="252"/>
        <v>1</v>
      </c>
      <c r="J101" s="22">
        <v>2017</v>
      </c>
      <c r="K101" s="50">
        <v>170</v>
      </c>
      <c r="L101" s="51"/>
      <c r="M101" s="51">
        <v>235</v>
      </c>
      <c r="N101" s="51"/>
      <c r="O101" s="51"/>
      <c r="P101" s="51">
        <v>265</v>
      </c>
      <c r="Q101" s="51"/>
      <c r="R101" s="47"/>
      <c r="S101" s="51">
        <v>277</v>
      </c>
      <c r="T101" s="47"/>
      <c r="U101" s="47"/>
      <c r="V101" s="51">
        <v>279</v>
      </c>
      <c r="W101" s="47"/>
      <c r="X101" s="51">
        <v>280</v>
      </c>
      <c r="Y101" s="47"/>
      <c r="Z101" s="47"/>
      <c r="AA101" s="53">
        <v>3131</v>
      </c>
      <c r="AB101" s="47"/>
      <c r="AC101" s="48"/>
      <c r="AD101" s="52" t="s">
        <v>5</v>
      </c>
      <c r="AE101" s="47"/>
      <c r="AF101" s="48"/>
      <c r="AI101" s="13">
        <v>15</v>
      </c>
      <c r="AJ101" s="3" t="str">
        <f t="shared" si="253"/>
        <v>Furman</v>
      </c>
      <c r="AM101" s="5">
        <v>0</v>
      </c>
      <c r="AN101" s="5">
        <v>1</v>
      </c>
      <c r="AP101" s="5"/>
      <c r="AQ101" s="5"/>
      <c r="AR101" s="5"/>
      <c r="AT101" s="5"/>
      <c r="AU101" s="5"/>
      <c r="AV101" s="5"/>
      <c r="AX101" s="5"/>
      <c r="AY101" s="5"/>
      <c r="AZ101" s="5"/>
      <c r="BB101" s="3">
        <f t="shared" si="254"/>
        <v>0</v>
      </c>
      <c r="BD101" s="3">
        <f t="shared" si="255"/>
        <v>0</v>
      </c>
      <c r="BF101" s="3" t="str">
        <f t="shared" si="256"/>
        <v/>
      </c>
      <c r="BH101" s="3" t="str">
        <f t="shared" si="257"/>
        <v/>
      </c>
      <c r="BJ101" s="3" t="str">
        <f t="shared" si="258"/>
        <v/>
      </c>
      <c r="BL101" s="3" t="str">
        <f t="shared" si="259"/>
        <v/>
      </c>
    </row>
    <row r="102" spans="1:64" ht="12.75" customHeight="1" x14ac:dyDescent="0.25">
      <c r="A102" s="18">
        <v>21</v>
      </c>
      <c r="B102" s="17" t="str">
        <f>$CI1</f>
        <v>Mike Santoro</v>
      </c>
      <c r="C102" s="60">
        <f>$CI75</f>
        <v>0</v>
      </c>
      <c r="D102" s="55"/>
      <c r="E102" s="61"/>
      <c r="F102" s="60">
        <f>$CJ75</f>
        <v>12480</v>
      </c>
      <c r="G102" s="61"/>
      <c r="H102" s="26">
        <f t="shared" si="252"/>
        <v>1</v>
      </c>
      <c r="J102" s="22">
        <v>2018</v>
      </c>
      <c r="K102" s="50">
        <v>193</v>
      </c>
      <c r="L102" s="51"/>
      <c r="M102" s="51">
        <v>278</v>
      </c>
      <c r="N102" s="51"/>
      <c r="O102" s="51"/>
      <c r="P102" s="51">
        <v>317</v>
      </c>
      <c r="Q102" s="51"/>
      <c r="R102" s="47"/>
      <c r="S102" s="51">
        <v>333</v>
      </c>
      <c r="T102" s="47"/>
      <c r="U102" s="47"/>
      <c r="V102" s="51">
        <v>337</v>
      </c>
      <c r="W102" s="47"/>
      <c r="X102" s="51">
        <v>338</v>
      </c>
      <c r="Y102" s="47"/>
      <c r="Z102" s="47"/>
      <c r="AA102" s="53">
        <v>2906</v>
      </c>
      <c r="AB102" s="47"/>
      <c r="AC102" s="48"/>
      <c r="AD102" s="52" t="s">
        <v>2</v>
      </c>
      <c r="AE102" s="47"/>
      <c r="AF102" s="48"/>
      <c r="AI102" s="11"/>
      <c r="AJ102" s="10" t="str">
        <f t="shared" si="253"/>
        <v>East SUB</v>
      </c>
      <c r="AP102" s="9"/>
      <c r="AQ102" s="9"/>
      <c r="AR102" s="9"/>
      <c r="AS102" s="10"/>
      <c r="AT102" s="9"/>
      <c r="AU102" s="9"/>
      <c r="AV102" s="9"/>
      <c r="AW102" s="10"/>
      <c r="AX102" s="9"/>
      <c r="AY102" s="9"/>
      <c r="AZ102" s="9"/>
      <c r="BB102" s="10">
        <f>SUM(BB86:BB101)</f>
        <v>0</v>
      </c>
      <c r="BC102" s="10"/>
      <c r="BD102" s="10">
        <f>SUM(BD86:BD101)</f>
        <v>0</v>
      </c>
      <c r="BE102" s="10"/>
      <c r="BF102" s="10">
        <f>SUM(BF86:BF101)</f>
        <v>0</v>
      </c>
      <c r="BG102" s="10"/>
      <c r="BH102" s="10">
        <f>SUM(BH86:BH101)</f>
        <v>0</v>
      </c>
      <c r="BI102" s="10"/>
      <c r="BJ102" s="10">
        <f>SUM(BJ86:BJ101)</f>
        <v>0</v>
      </c>
      <c r="BK102" s="10"/>
      <c r="BL102" s="10">
        <f>SUM(BL86:BL101)</f>
        <v>0</v>
      </c>
    </row>
    <row r="103" spans="1:64" ht="12.75" customHeight="1" x14ac:dyDescent="0.25">
      <c r="A103" s="18">
        <v>22</v>
      </c>
      <c r="B103" s="17" t="str">
        <f>$CM1</f>
        <v>Scott Besch</v>
      </c>
      <c r="C103" s="60">
        <f>$CM75</f>
        <v>0</v>
      </c>
      <c r="D103" s="55"/>
      <c r="E103" s="61"/>
      <c r="F103" s="60">
        <f>$CN75</f>
        <v>12480</v>
      </c>
      <c r="G103" s="61"/>
      <c r="H103" s="26">
        <f t="shared" si="252"/>
        <v>1</v>
      </c>
      <c r="J103" s="22">
        <v>2019</v>
      </c>
      <c r="K103" s="50">
        <v>192</v>
      </c>
      <c r="L103" s="51"/>
      <c r="M103" s="51">
        <v>241</v>
      </c>
      <c r="N103" s="51"/>
      <c r="O103" s="51"/>
      <c r="P103" s="51">
        <v>259</v>
      </c>
      <c r="Q103" s="51"/>
      <c r="R103" s="47"/>
      <c r="S103" s="51">
        <v>270</v>
      </c>
      <c r="T103" s="47"/>
      <c r="U103" s="47"/>
      <c r="V103" s="51">
        <v>274</v>
      </c>
      <c r="W103" s="47"/>
      <c r="X103" s="51">
        <v>275</v>
      </c>
      <c r="Y103" s="47"/>
      <c r="Z103" s="47"/>
      <c r="AA103" s="53">
        <v>3171</v>
      </c>
      <c r="AB103" s="47"/>
      <c r="AC103" s="48"/>
      <c r="AD103" s="52" t="s">
        <v>0</v>
      </c>
      <c r="AE103" s="47"/>
      <c r="AF103" s="48"/>
      <c r="AI103" s="4"/>
      <c r="AP103" s="5"/>
      <c r="AQ103" s="5"/>
      <c r="AR103" s="5"/>
      <c r="AT103" s="5"/>
      <c r="AU103" s="5"/>
      <c r="AV103" s="5"/>
      <c r="AX103" s="5"/>
      <c r="AY103" s="5"/>
      <c r="AZ103" s="5"/>
    </row>
    <row r="104" spans="1:64" ht="12.75" customHeight="1" x14ac:dyDescent="0.25">
      <c r="A104" s="18">
        <v>23</v>
      </c>
      <c r="B104" s="17" t="str">
        <f>$CQ1</f>
        <v>Ben Dressing</v>
      </c>
      <c r="C104" s="60">
        <f>$CQ75</f>
        <v>0</v>
      </c>
      <c r="D104" s="55"/>
      <c r="E104" s="61"/>
      <c r="F104" s="60">
        <f>$CR75</f>
        <v>12480</v>
      </c>
      <c r="G104" s="61"/>
      <c r="H104" s="26">
        <f t="shared" si="252"/>
        <v>1</v>
      </c>
      <c r="J104" s="22">
        <v>2020</v>
      </c>
      <c r="K104" s="50"/>
      <c r="L104" s="51"/>
      <c r="M104" s="51"/>
      <c r="N104" s="51"/>
      <c r="O104" s="51"/>
      <c r="P104" s="51"/>
      <c r="Q104" s="51"/>
      <c r="R104" s="47"/>
      <c r="S104" s="51"/>
      <c r="T104" s="47"/>
      <c r="U104" s="47"/>
      <c r="V104" s="51"/>
      <c r="W104" s="47"/>
      <c r="X104" s="51"/>
      <c r="Y104" s="47"/>
      <c r="Z104" s="47"/>
      <c r="AA104" s="53"/>
      <c r="AB104" s="47"/>
      <c r="AC104" s="48"/>
      <c r="AD104" s="52" t="s">
        <v>120</v>
      </c>
      <c r="AE104" s="47"/>
      <c r="AF104" s="48"/>
      <c r="AI104" s="13">
        <v>1</v>
      </c>
      <c r="AJ104" s="3" t="str">
        <f t="shared" ref="AJ104:AJ120" si="260">B21</f>
        <v>Florida</v>
      </c>
      <c r="AM104" s="5">
        <v>0</v>
      </c>
      <c r="AN104" s="5">
        <v>1</v>
      </c>
      <c r="AP104" s="5"/>
      <c r="AQ104" s="5"/>
      <c r="AR104" s="5"/>
      <c r="AT104" s="5"/>
      <c r="AU104" s="5"/>
      <c r="AV104" s="5"/>
      <c r="AX104" s="5"/>
      <c r="AY104" s="5"/>
      <c r="AZ104" s="5"/>
      <c r="BB104" s="3">
        <f t="shared" ref="BB104:BB119" si="261">IF($AN104=1,$AP104-$AT104,)</f>
        <v>0</v>
      </c>
      <c r="BD104" s="3">
        <f t="shared" ref="BD104:BD119" si="262">IF($AN104=1,($AP104-$AT104)*(6-$AM104),)</f>
        <v>0</v>
      </c>
      <c r="BF104" s="3" t="str">
        <f t="shared" ref="BF104:BF119" si="263">IF(AND($AZ$83&gt;0,$AN104=1),$AP104-$AX104,"")</f>
        <v/>
      </c>
      <c r="BH104" s="3" t="str">
        <f t="shared" ref="BH104:BH119" si="264">IF(AND($AZ$83&gt;0,$AN104=1),($AP104-$AX104)*(6-$AM104),"")</f>
        <v/>
      </c>
      <c r="BJ104" s="3" t="str">
        <f t="shared" ref="BJ104:BJ119" si="265">IF(AND($AZ$83&gt;0,$AN104=1),$AT104-$AX104,"")</f>
        <v/>
      </c>
      <c r="BL104" s="3" t="str">
        <f t="shared" ref="BL104:BL119" si="266">IF(AND($AZ$83&gt;0,$AN104=1),($AT104-$AX104)*(6-$AM104),"")</f>
        <v/>
      </c>
    </row>
    <row r="105" spans="1:64" ht="12.75" customHeight="1" x14ac:dyDescent="0.25">
      <c r="A105" s="18">
        <v>24</v>
      </c>
      <c r="B105" s="17" t="str">
        <f>$CU1</f>
        <v>Liam Corder</v>
      </c>
      <c r="C105" s="60">
        <f>$CU75</f>
        <v>0</v>
      </c>
      <c r="D105" s="55"/>
      <c r="E105" s="61"/>
      <c r="F105" s="60">
        <f>$CV75</f>
        <v>12480</v>
      </c>
      <c r="G105" s="61"/>
      <c r="H105" s="26">
        <f t="shared" si="252"/>
        <v>1</v>
      </c>
      <c r="J105" s="22">
        <v>2021</v>
      </c>
      <c r="K105" s="51">
        <v>210</v>
      </c>
      <c r="L105" s="51"/>
      <c r="M105" s="51">
        <v>304</v>
      </c>
      <c r="N105" s="51"/>
      <c r="O105" s="51"/>
      <c r="P105" s="51">
        <v>341</v>
      </c>
      <c r="Q105" s="51"/>
      <c r="R105" s="47"/>
      <c r="S105" s="51">
        <v>356</v>
      </c>
      <c r="T105" s="47"/>
      <c r="U105" s="47"/>
      <c r="V105" s="51">
        <v>358</v>
      </c>
      <c r="W105" s="47"/>
      <c r="X105" s="63">
        <v>359</v>
      </c>
      <c r="Y105" s="47"/>
      <c r="Z105" s="64"/>
      <c r="AA105" s="66">
        <v>2865</v>
      </c>
      <c r="AB105" s="47"/>
      <c r="AC105" s="48"/>
      <c r="AD105" s="46" t="s">
        <v>121</v>
      </c>
      <c r="AE105" s="47"/>
      <c r="AF105" s="48"/>
      <c r="AI105" s="13">
        <v>16</v>
      </c>
      <c r="AJ105" s="3" t="str">
        <f t="shared" si="260"/>
        <v>Prairie View/Lehigh</v>
      </c>
      <c r="AM105" s="5">
        <v>0</v>
      </c>
      <c r="AN105" s="5">
        <v>1</v>
      </c>
      <c r="AP105" s="5"/>
      <c r="AQ105" s="5"/>
      <c r="AR105" s="5"/>
      <c r="AT105" s="5"/>
      <c r="AU105" s="5"/>
      <c r="AV105" s="5"/>
      <c r="AX105" s="5"/>
      <c r="AY105" s="5"/>
      <c r="AZ105" s="5"/>
      <c r="BB105" s="3">
        <f t="shared" si="261"/>
        <v>0</v>
      </c>
      <c r="BD105" s="3">
        <f t="shared" si="262"/>
        <v>0</v>
      </c>
      <c r="BF105" s="3" t="str">
        <f t="shared" si="263"/>
        <v/>
      </c>
      <c r="BH105" s="3" t="str">
        <f t="shared" si="264"/>
        <v/>
      </c>
      <c r="BJ105" s="3" t="str">
        <f t="shared" si="265"/>
        <v/>
      </c>
      <c r="BL105" s="3" t="str">
        <f t="shared" si="266"/>
        <v/>
      </c>
    </row>
    <row r="106" spans="1:64" ht="12.75" customHeight="1" x14ac:dyDescent="0.25">
      <c r="A106" s="18">
        <v>25</v>
      </c>
      <c r="B106" s="17" t="str">
        <f>$CY1</f>
        <v>Brion Chmura</v>
      </c>
      <c r="C106" s="60">
        <f>$CY75</f>
        <v>0</v>
      </c>
      <c r="D106" s="55"/>
      <c r="E106" s="61"/>
      <c r="F106" s="60">
        <f>$CZ75</f>
        <v>12480</v>
      </c>
      <c r="G106" s="61"/>
      <c r="H106" s="26">
        <f t="shared" si="252"/>
        <v>1</v>
      </c>
      <c r="J106" s="22">
        <v>2022</v>
      </c>
      <c r="K106" s="50">
        <v>192</v>
      </c>
      <c r="L106" s="51"/>
      <c r="M106" s="51">
        <v>277</v>
      </c>
      <c r="N106" s="51"/>
      <c r="O106" s="51"/>
      <c r="P106" s="51">
        <v>324</v>
      </c>
      <c r="Q106" s="51"/>
      <c r="R106" s="47"/>
      <c r="S106" s="51">
        <v>337</v>
      </c>
      <c r="T106" s="47"/>
      <c r="U106" s="47"/>
      <c r="V106" s="51">
        <v>346</v>
      </c>
      <c r="W106" s="47"/>
      <c r="X106" s="51">
        <v>347</v>
      </c>
      <c r="Y106" s="47"/>
      <c r="Z106" s="47"/>
      <c r="AA106" s="53">
        <v>2876</v>
      </c>
      <c r="AB106" s="47"/>
      <c r="AC106" s="48"/>
      <c r="AD106" s="52" t="s">
        <v>122</v>
      </c>
      <c r="AE106" s="47"/>
      <c r="AF106" s="48"/>
      <c r="AI106" s="13">
        <v>8</v>
      </c>
      <c r="AJ106" s="3" t="str">
        <f t="shared" si="260"/>
        <v>Clemson</v>
      </c>
      <c r="AM106" s="5">
        <v>0</v>
      </c>
      <c r="AN106" s="5">
        <v>1</v>
      </c>
      <c r="AP106" s="5"/>
      <c r="AQ106" s="5"/>
      <c r="AR106" s="5"/>
      <c r="AT106" s="5"/>
      <c r="AU106" s="5"/>
      <c r="AV106" s="5"/>
      <c r="AX106" s="5"/>
      <c r="AY106" s="5"/>
      <c r="AZ106" s="5"/>
      <c r="BB106" s="3">
        <f t="shared" si="261"/>
        <v>0</v>
      </c>
      <c r="BD106" s="3">
        <f t="shared" si="262"/>
        <v>0</v>
      </c>
      <c r="BF106" s="3" t="str">
        <f t="shared" si="263"/>
        <v/>
      </c>
      <c r="BH106" s="3" t="str">
        <f t="shared" si="264"/>
        <v/>
      </c>
      <c r="BJ106" s="3" t="str">
        <f t="shared" si="265"/>
        <v/>
      </c>
      <c r="BL106" s="3" t="str">
        <f t="shared" si="266"/>
        <v/>
      </c>
    </row>
    <row r="107" spans="1:64" ht="12.75" customHeight="1" x14ac:dyDescent="0.25">
      <c r="A107" s="18">
        <v>26</v>
      </c>
      <c r="B107" s="17" t="str">
        <f>$DC1</f>
        <v>Jon Knazur</v>
      </c>
      <c r="C107" s="60">
        <f>$DC75</f>
        <v>0</v>
      </c>
      <c r="D107" s="55"/>
      <c r="E107" s="61"/>
      <c r="F107" s="60">
        <f>$DD75</f>
        <v>12480</v>
      </c>
      <c r="G107" s="61"/>
      <c r="H107" s="26">
        <f t="shared" si="252"/>
        <v>1</v>
      </c>
      <c r="J107" s="22">
        <v>2023</v>
      </c>
      <c r="K107" s="50">
        <v>191</v>
      </c>
      <c r="L107" s="51"/>
      <c r="M107" s="51">
        <v>269</v>
      </c>
      <c r="N107" s="51"/>
      <c r="O107" s="51"/>
      <c r="P107" s="51">
        <v>306</v>
      </c>
      <c r="Q107" s="51"/>
      <c r="R107" s="47"/>
      <c r="S107" s="51">
        <v>329</v>
      </c>
      <c r="T107" s="47"/>
      <c r="U107" s="47"/>
      <c r="V107" s="51">
        <v>338</v>
      </c>
      <c r="W107" s="47"/>
      <c r="X107" s="51">
        <v>342</v>
      </c>
      <c r="Y107" s="47"/>
      <c r="Z107" s="47"/>
      <c r="AA107" s="53">
        <v>2888</v>
      </c>
      <c r="AB107" s="47"/>
      <c r="AC107" s="48"/>
      <c r="AD107" s="52" t="s">
        <v>4</v>
      </c>
      <c r="AE107" s="47"/>
      <c r="AF107" s="48"/>
      <c r="AI107" s="13">
        <v>9</v>
      </c>
      <c r="AJ107" s="3" t="str">
        <f t="shared" si="260"/>
        <v>Iowa</v>
      </c>
      <c r="AM107" s="5">
        <v>0</v>
      </c>
      <c r="AN107" s="5">
        <v>1</v>
      </c>
      <c r="AP107" s="5"/>
      <c r="AQ107" s="5"/>
      <c r="AR107" s="5"/>
      <c r="AT107" s="5"/>
      <c r="AU107" s="5"/>
      <c r="AV107" s="5"/>
      <c r="AX107" s="5"/>
      <c r="AY107" s="5"/>
      <c r="AZ107" s="5"/>
      <c r="BB107" s="3">
        <f t="shared" si="261"/>
        <v>0</v>
      </c>
      <c r="BD107" s="3">
        <f t="shared" si="262"/>
        <v>0</v>
      </c>
      <c r="BF107" s="3" t="str">
        <f t="shared" si="263"/>
        <v/>
      </c>
      <c r="BH107" s="3" t="str">
        <f t="shared" si="264"/>
        <v/>
      </c>
      <c r="BJ107" s="3" t="str">
        <f t="shared" si="265"/>
        <v/>
      </c>
      <c r="BL107" s="3" t="str">
        <f t="shared" si="266"/>
        <v/>
      </c>
    </row>
    <row r="108" spans="1:64" ht="12.75" customHeight="1" x14ac:dyDescent="0.25">
      <c r="A108" s="18">
        <v>27</v>
      </c>
      <c r="B108" s="17" t="str">
        <f>$DG1</f>
        <v>Mike Corder</v>
      </c>
      <c r="C108" s="60">
        <f>$DG75</f>
        <v>0</v>
      </c>
      <c r="D108" s="55"/>
      <c r="E108" s="61"/>
      <c r="F108" s="60">
        <f>$DH75</f>
        <v>12480</v>
      </c>
      <c r="G108" s="61"/>
      <c r="H108" s="26">
        <f t="shared" si="252"/>
        <v>1</v>
      </c>
      <c r="J108" s="22">
        <v>2024</v>
      </c>
      <c r="K108" s="51">
        <v>199</v>
      </c>
      <c r="L108" s="51"/>
      <c r="M108" s="51">
        <v>252</v>
      </c>
      <c r="N108" s="51"/>
      <c r="O108" s="51"/>
      <c r="P108" s="51">
        <v>284</v>
      </c>
      <c r="Q108" s="51"/>
      <c r="R108" s="47"/>
      <c r="S108" s="51">
        <v>301</v>
      </c>
      <c r="T108" s="47"/>
      <c r="U108" s="47"/>
      <c r="V108" s="51">
        <v>303</v>
      </c>
      <c r="W108" s="47"/>
      <c r="X108" s="63">
        <v>304</v>
      </c>
      <c r="Y108" s="47"/>
      <c r="Z108" s="64"/>
      <c r="AA108" s="62">
        <v>3067</v>
      </c>
      <c r="AB108" s="47"/>
      <c r="AC108" s="48"/>
      <c r="AD108" s="52" t="s">
        <v>123</v>
      </c>
      <c r="AE108" s="47"/>
      <c r="AF108" s="48"/>
      <c r="AI108" s="13">
        <v>5</v>
      </c>
      <c r="AJ108" s="3" t="str">
        <f t="shared" si="260"/>
        <v>Vanderbilt</v>
      </c>
      <c r="AM108" s="5">
        <v>0</v>
      </c>
      <c r="AN108" s="5">
        <v>1</v>
      </c>
      <c r="AP108" s="5"/>
      <c r="AQ108" s="5"/>
      <c r="AR108" s="5"/>
      <c r="AT108" s="5"/>
      <c r="AU108" s="5"/>
      <c r="AV108" s="5"/>
      <c r="AX108" s="5"/>
      <c r="AY108" s="5"/>
      <c r="AZ108" s="5"/>
      <c r="BB108" s="3">
        <f t="shared" si="261"/>
        <v>0</v>
      </c>
      <c r="BD108" s="3">
        <f t="shared" si="262"/>
        <v>0</v>
      </c>
      <c r="BF108" s="3" t="str">
        <f t="shared" si="263"/>
        <v/>
      </c>
      <c r="BH108" s="3" t="str">
        <f t="shared" si="264"/>
        <v/>
      </c>
      <c r="BJ108" s="3" t="str">
        <f t="shared" si="265"/>
        <v/>
      </c>
      <c r="BL108" s="3" t="str">
        <f t="shared" si="266"/>
        <v/>
      </c>
    </row>
    <row r="109" spans="1:64" ht="12.75" customHeight="1" x14ac:dyDescent="0.25">
      <c r="A109" s="18">
        <v>28</v>
      </c>
      <c r="B109" s="17">
        <f>$DK1</f>
        <v>0</v>
      </c>
      <c r="C109" s="60">
        <f>$DK75</f>
        <v>0</v>
      </c>
      <c r="D109" s="55"/>
      <c r="E109" s="61"/>
      <c r="F109" s="60">
        <f>$DL75</f>
        <v>0</v>
      </c>
      <c r="G109" s="61"/>
      <c r="H109" s="26">
        <f t="shared" si="252"/>
        <v>1</v>
      </c>
      <c r="J109" s="22">
        <v>2025</v>
      </c>
      <c r="K109" s="50">
        <v>171</v>
      </c>
      <c r="L109" s="51"/>
      <c r="M109" s="51">
        <v>226</v>
      </c>
      <c r="N109" s="51"/>
      <c r="O109" s="51"/>
      <c r="P109" s="51">
        <v>239</v>
      </c>
      <c r="Q109" s="51"/>
      <c r="R109" s="47"/>
      <c r="S109" s="51">
        <v>243</v>
      </c>
      <c r="T109" s="47"/>
      <c r="U109" s="47"/>
      <c r="V109" s="51">
        <v>245</v>
      </c>
      <c r="W109" s="47"/>
      <c r="X109" s="51">
        <v>246</v>
      </c>
      <c r="Y109" s="47"/>
      <c r="Z109" s="47"/>
      <c r="AA109" s="53">
        <v>3212</v>
      </c>
      <c r="AB109" s="47"/>
      <c r="AC109" s="48"/>
      <c r="AD109" s="52" t="s">
        <v>1</v>
      </c>
      <c r="AE109" s="47"/>
      <c r="AF109" s="48"/>
      <c r="AI109" s="13">
        <v>12</v>
      </c>
      <c r="AJ109" s="3" t="str">
        <f t="shared" si="260"/>
        <v>McNeese</v>
      </c>
      <c r="AM109" s="5">
        <v>0</v>
      </c>
      <c r="AN109" s="5">
        <v>1</v>
      </c>
      <c r="AP109" s="5"/>
      <c r="AQ109" s="5"/>
      <c r="AR109" s="5"/>
      <c r="AT109" s="5"/>
      <c r="AU109" s="5"/>
      <c r="AV109" s="5"/>
      <c r="AX109" s="5"/>
      <c r="AY109" s="5"/>
      <c r="AZ109" s="5"/>
      <c r="BB109" s="3">
        <f t="shared" si="261"/>
        <v>0</v>
      </c>
      <c r="BD109" s="3">
        <f t="shared" si="262"/>
        <v>0</v>
      </c>
      <c r="BF109" s="3" t="str">
        <f t="shared" si="263"/>
        <v/>
      </c>
      <c r="BH109" s="3" t="str">
        <f t="shared" si="264"/>
        <v/>
      </c>
      <c r="BJ109" s="3" t="str">
        <f t="shared" si="265"/>
        <v/>
      </c>
      <c r="BL109" s="3" t="str">
        <f t="shared" si="266"/>
        <v/>
      </c>
    </row>
    <row r="110" spans="1:64" ht="13.2" customHeight="1" x14ac:dyDescent="0.25">
      <c r="A110" s="18">
        <v>29</v>
      </c>
      <c r="B110" s="17">
        <f>$DO1</f>
        <v>0</v>
      </c>
      <c r="C110" s="60">
        <f>$DO75</f>
        <v>0</v>
      </c>
      <c r="D110" s="55"/>
      <c r="E110" s="61"/>
      <c r="F110" s="60">
        <f>$DP75</f>
        <v>0</v>
      </c>
      <c r="G110" s="61"/>
      <c r="H110" s="26">
        <f t="shared" si="252"/>
        <v>1</v>
      </c>
      <c r="J110" s="23">
        <v>2026</v>
      </c>
      <c r="K110" s="35"/>
      <c r="L110" s="35"/>
      <c r="M110" s="35"/>
      <c r="N110" s="35"/>
      <c r="O110" s="35"/>
      <c r="P110" s="35"/>
      <c r="Q110" s="35"/>
      <c r="R110" s="37"/>
      <c r="S110" s="37"/>
      <c r="T110" s="37"/>
      <c r="U110" s="37"/>
      <c r="V110" s="37"/>
      <c r="W110" s="37"/>
      <c r="X110" s="37"/>
      <c r="Y110" s="37"/>
      <c r="Z110" s="37"/>
      <c r="AA110" s="39"/>
      <c r="AB110" s="37"/>
      <c r="AC110" s="37"/>
      <c r="AD110" s="36"/>
      <c r="AE110" s="37"/>
      <c r="AF110" s="38"/>
      <c r="AI110" s="13">
        <v>4</v>
      </c>
      <c r="AJ110" s="3" t="str">
        <f t="shared" si="260"/>
        <v>Nebraska</v>
      </c>
      <c r="AM110" s="5">
        <v>0</v>
      </c>
      <c r="AN110" s="5">
        <v>1</v>
      </c>
      <c r="AP110" s="5"/>
      <c r="AQ110" s="5"/>
      <c r="AR110" s="5"/>
      <c r="AT110" s="5"/>
      <c r="AU110" s="5"/>
      <c r="AV110" s="5"/>
      <c r="AX110" s="5"/>
      <c r="AY110" s="5"/>
      <c r="AZ110" s="5"/>
      <c r="BB110" s="3">
        <f t="shared" si="261"/>
        <v>0</v>
      </c>
      <c r="BD110" s="3">
        <f t="shared" si="262"/>
        <v>0</v>
      </c>
      <c r="BF110" s="3" t="str">
        <f t="shared" si="263"/>
        <v/>
      </c>
      <c r="BH110" s="3" t="str">
        <f t="shared" si="264"/>
        <v/>
      </c>
      <c r="BJ110" s="3" t="str">
        <f t="shared" si="265"/>
        <v/>
      </c>
      <c r="BL110" s="3" t="str">
        <f t="shared" si="266"/>
        <v/>
      </c>
    </row>
    <row r="111" spans="1:64" ht="13.2" customHeight="1" x14ac:dyDescent="0.25">
      <c r="A111" s="18">
        <v>30</v>
      </c>
      <c r="B111" s="17">
        <f>$DS1</f>
        <v>0</v>
      </c>
      <c r="C111" s="60">
        <f>$DS75</f>
        <v>0</v>
      </c>
      <c r="D111" s="55"/>
      <c r="E111" s="61"/>
      <c r="F111" s="60">
        <f>$DT75</f>
        <v>0</v>
      </c>
      <c r="G111" s="61"/>
      <c r="H111" s="26">
        <f t="shared" si="252"/>
        <v>1</v>
      </c>
      <c r="AI111" s="13">
        <v>13</v>
      </c>
      <c r="AJ111" s="3" t="str">
        <f t="shared" si="260"/>
        <v>Troy</v>
      </c>
      <c r="AM111" s="5">
        <v>0</v>
      </c>
      <c r="AN111" s="5">
        <v>1</v>
      </c>
      <c r="AP111" s="5"/>
      <c r="AQ111" s="5"/>
      <c r="AR111" s="5"/>
      <c r="AT111" s="5"/>
      <c r="AU111" s="5"/>
      <c r="AV111" s="5"/>
      <c r="AX111" s="5"/>
      <c r="AY111" s="5"/>
      <c r="AZ111" s="5"/>
      <c r="BB111" s="3">
        <f t="shared" si="261"/>
        <v>0</v>
      </c>
      <c r="BD111" s="3">
        <f t="shared" si="262"/>
        <v>0</v>
      </c>
      <c r="BF111" s="3" t="str">
        <f t="shared" si="263"/>
        <v/>
      </c>
      <c r="BH111" s="3" t="str">
        <f t="shared" si="264"/>
        <v/>
      </c>
      <c r="BJ111" s="3" t="str">
        <f t="shared" si="265"/>
        <v/>
      </c>
      <c r="BL111" s="3" t="str">
        <f t="shared" si="266"/>
        <v/>
      </c>
    </row>
    <row r="112" spans="1:64" x14ac:dyDescent="0.2">
      <c r="AI112" s="13">
        <v>6</v>
      </c>
      <c r="AJ112" s="3" t="str">
        <f t="shared" si="260"/>
        <v>North Carolina</v>
      </c>
      <c r="AM112" s="5">
        <v>0</v>
      </c>
      <c r="AN112" s="5">
        <v>1</v>
      </c>
      <c r="AP112" s="5"/>
      <c r="AQ112" s="5"/>
      <c r="AR112" s="5"/>
      <c r="AT112" s="5"/>
      <c r="AU112" s="5"/>
      <c r="AV112" s="5"/>
      <c r="AX112" s="5"/>
      <c r="AY112" s="5"/>
      <c r="AZ112" s="5"/>
      <c r="BB112" s="3">
        <f t="shared" si="261"/>
        <v>0</v>
      </c>
      <c r="BD112" s="3">
        <f t="shared" si="262"/>
        <v>0</v>
      </c>
      <c r="BF112" s="3" t="str">
        <f t="shared" si="263"/>
        <v/>
      </c>
      <c r="BH112" s="3" t="str">
        <f t="shared" si="264"/>
        <v/>
      </c>
      <c r="BJ112" s="3" t="str">
        <f t="shared" si="265"/>
        <v/>
      </c>
      <c r="BL112" s="3" t="str">
        <f t="shared" si="266"/>
        <v/>
      </c>
    </row>
    <row r="113" spans="2:64" x14ac:dyDescent="0.2">
      <c r="B113" s="3" t="s">
        <v>124</v>
      </c>
      <c r="F113" s="51">
        <f>$DX75</f>
        <v>0</v>
      </c>
      <c r="G113" s="51"/>
      <c r="AI113" s="13">
        <v>11</v>
      </c>
      <c r="AJ113" s="3" t="str">
        <f t="shared" si="260"/>
        <v>VCU</v>
      </c>
      <c r="AM113" s="5">
        <v>0</v>
      </c>
      <c r="AN113" s="5">
        <v>1</v>
      </c>
      <c r="AP113" s="5"/>
      <c r="AQ113" s="5"/>
      <c r="AR113" s="5"/>
      <c r="AT113" s="5"/>
      <c r="AU113" s="5"/>
      <c r="AV113" s="5"/>
      <c r="AX113" s="5"/>
      <c r="AY113" s="5"/>
      <c r="AZ113" s="5"/>
      <c r="BB113" s="3">
        <f t="shared" si="261"/>
        <v>0</v>
      </c>
      <c r="BD113" s="3">
        <f t="shared" si="262"/>
        <v>0</v>
      </c>
      <c r="BF113" s="3" t="str">
        <f t="shared" si="263"/>
        <v/>
      </c>
      <c r="BH113" s="3" t="str">
        <f t="shared" si="264"/>
        <v/>
      </c>
      <c r="BJ113" s="3" t="str">
        <f t="shared" si="265"/>
        <v/>
      </c>
      <c r="BL113" s="3" t="str">
        <f t="shared" si="266"/>
        <v/>
      </c>
    </row>
    <row r="114" spans="2:64" x14ac:dyDescent="0.2">
      <c r="AI114" s="13">
        <v>3</v>
      </c>
      <c r="AJ114" s="3" t="str">
        <f t="shared" si="260"/>
        <v>Illinois</v>
      </c>
      <c r="AM114" s="5">
        <v>0</v>
      </c>
      <c r="AN114" s="5">
        <v>1</v>
      </c>
      <c r="AP114" s="5"/>
      <c r="AQ114" s="5"/>
      <c r="AR114" s="5"/>
      <c r="AT114" s="5"/>
      <c r="AU114" s="5"/>
      <c r="AV114" s="5"/>
      <c r="AX114" s="5"/>
      <c r="AY114" s="5"/>
      <c r="AZ114" s="5"/>
      <c r="BB114" s="3">
        <f t="shared" si="261"/>
        <v>0</v>
      </c>
      <c r="BD114" s="3">
        <f t="shared" si="262"/>
        <v>0</v>
      </c>
      <c r="BF114" s="3" t="str">
        <f t="shared" si="263"/>
        <v/>
      </c>
      <c r="BH114" s="3" t="str">
        <f t="shared" si="264"/>
        <v/>
      </c>
      <c r="BJ114" s="3" t="str">
        <f t="shared" si="265"/>
        <v/>
      </c>
      <c r="BL114" s="3" t="str">
        <f t="shared" si="266"/>
        <v/>
      </c>
    </row>
    <row r="115" spans="2:64" x14ac:dyDescent="0.2">
      <c r="AI115" s="13">
        <v>14</v>
      </c>
      <c r="AJ115" s="3" t="str">
        <f t="shared" si="260"/>
        <v>Penn</v>
      </c>
      <c r="AM115" s="5">
        <v>0</v>
      </c>
      <c r="AN115" s="5">
        <v>1</v>
      </c>
      <c r="AP115" s="5"/>
      <c r="AQ115" s="5"/>
      <c r="AR115" s="5"/>
      <c r="AT115" s="5"/>
      <c r="AU115" s="5"/>
      <c r="AV115" s="5"/>
      <c r="AX115" s="5"/>
      <c r="AY115" s="5"/>
      <c r="AZ115" s="5"/>
      <c r="BB115" s="3">
        <f t="shared" si="261"/>
        <v>0</v>
      </c>
      <c r="BD115" s="3">
        <f t="shared" si="262"/>
        <v>0</v>
      </c>
      <c r="BF115" s="3" t="str">
        <f t="shared" si="263"/>
        <v/>
      </c>
      <c r="BH115" s="3" t="str">
        <f t="shared" si="264"/>
        <v/>
      </c>
      <c r="BJ115" s="3" t="str">
        <f t="shared" si="265"/>
        <v/>
      </c>
      <c r="BL115" s="3" t="str">
        <f t="shared" si="266"/>
        <v/>
      </c>
    </row>
    <row r="116" spans="2:64" x14ac:dyDescent="0.2">
      <c r="AI116" s="13">
        <v>7</v>
      </c>
      <c r="AJ116" s="3" t="str">
        <f t="shared" si="260"/>
        <v>Saint Mary's</v>
      </c>
      <c r="AM116" s="5">
        <v>0</v>
      </c>
      <c r="AN116" s="5">
        <v>1</v>
      </c>
      <c r="AP116" s="5"/>
      <c r="AQ116" s="5"/>
      <c r="AR116" s="5"/>
      <c r="AT116" s="5"/>
      <c r="AU116" s="5"/>
      <c r="AV116" s="5"/>
      <c r="AX116" s="5"/>
      <c r="AY116" s="5"/>
      <c r="AZ116" s="5"/>
      <c r="BB116" s="3">
        <f t="shared" si="261"/>
        <v>0</v>
      </c>
      <c r="BD116" s="3">
        <f t="shared" si="262"/>
        <v>0</v>
      </c>
      <c r="BF116" s="3" t="str">
        <f t="shared" si="263"/>
        <v/>
      </c>
      <c r="BH116" s="3" t="str">
        <f t="shared" si="264"/>
        <v/>
      </c>
      <c r="BJ116" s="3" t="str">
        <f t="shared" si="265"/>
        <v/>
      </c>
      <c r="BL116" s="3" t="str">
        <f t="shared" si="266"/>
        <v/>
      </c>
    </row>
    <row r="117" spans="2:64" x14ac:dyDescent="0.2">
      <c r="AI117" s="13">
        <v>10</v>
      </c>
      <c r="AJ117" s="3" t="str">
        <f t="shared" si="260"/>
        <v>Texas A&amp;M</v>
      </c>
      <c r="AM117" s="5">
        <v>0</v>
      </c>
      <c r="AN117" s="5">
        <v>1</v>
      </c>
      <c r="AP117" s="5"/>
      <c r="AQ117" s="5"/>
      <c r="AR117" s="5"/>
      <c r="AT117" s="5"/>
      <c r="AU117" s="5"/>
      <c r="AV117" s="5"/>
      <c r="AX117" s="5"/>
      <c r="AY117" s="5"/>
      <c r="AZ117" s="5"/>
      <c r="BB117" s="3">
        <f t="shared" si="261"/>
        <v>0</v>
      </c>
      <c r="BD117" s="3">
        <f t="shared" si="262"/>
        <v>0</v>
      </c>
      <c r="BF117" s="3" t="str">
        <f t="shared" si="263"/>
        <v/>
      </c>
      <c r="BH117" s="3" t="str">
        <f t="shared" si="264"/>
        <v/>
      </c>
      <c r="BJ117" s="3" t="str">
        <f t="shared" si="265"/>
        <v/>
      </c>
      <c r="BL117" s="3" t="str">
        <f t="shared" si="266"/>
        <v/>
      </c>
    </row>
    <row r="118" spans="2:64" x14ac:dyDescent="0.2">
      <c r="AI118" s="13">
        <v>2</v>
      </c>
      <c r="AJ118" s="3" t="str">
        <f t="shared" si="260"/>
        <v>Houston</v>
      </c>
      <c r="AM118" s="5">
        <v>0</v>
      </c>
      <c r="AN118" s="5">
        <v>1</v>
      </c>
      <c r="AP118" s="5"/>
      <c r="AQ118" s="5"/>
      <c r="AR118" s="5"/>
      <c r="AT118" s="5"/>
      <c r="AU118" s="5"/>
      <c r="AV118" s="5"/>
      <c r="AX118" s="5"/>
      <c r="AY118" s="5"/>
      <c r="AZ118" s="5"/>
      <c r="BB118" s="3">
        <f t="shared" si="261"/>
        <v>0</v>
      </c>
      <c r="BD118" s="3">
        <f t="shared" si="262"/>
        <v>0</v>
      </c>
      <c r="BF118" s="3" t="str">
        <f t="shared" si="263"/>
        <v/>
      </c>
      <c r="BH118" s="3" t="str">
        <f t="shared" si="264"/>
        <v/>
      </c>
      <c r="BJ118" s="3" t="str">
        <f t="shared" si="265"/>
        <v/>
      </c>
      <c r="BL118" s="3" t="str">
        <f t="shared" si="266"/>
        <v/>
      </c>
    </row>
    <row r="119" spans="2:64" x14ac:dyDescent="0.2">
      <c r="AI119" s="13">
        <v>15</v>
      </c>
      <c r="AJ119" s="3" t="str">
        <f t="shared" si="260"/>
        <v>Idaho</v>
      </c>
      <c r="AM119" s="5">
        <v>0</v>
      </c>
      <c r="AN119" s="5">
        <v>1</v>
      </c>
      <c r="AP119" s="5"/>
      <c r="AQ119" s="5"/>
      <c r="AR119" s="5"/>
      <c r="AT119" s="5"/>
      <c r="AU119" s="5"/>
      <c r="AV119" s="5"/>
      <c r="AX119" s="5"/>
      <c r="AY119" s="5"/>
      <c r="AZ119" s="5"/>
      <c r="BB119" s="3">
        <f t="shared" si="261"/>
        <v>0</v>
      </c>
      <c r="BD119" s="3">
        <f t="shared" si="262"/>
        <v>0</v>
      </c>
      <c r="BF119" s="3" t="str">
        <f t="shared" si="263"/>
        <v/>
      </c>
      <c r="BH119" s="3" t="str">
        <f t="shared" si="264"/>
        <v/>
      </c>
      <c r="BJ119" s="3" t="str">
        <f t="shared" si="265"/>
        <v/>
      </c>
      <c r="BL119" s="3" t="str">
        <f t="shared" si="266"/>
        <v/>
      </c>
    </row>
    <row r="120" spans="2:64" x14ac:dyDescent="0.2">
      <c r="AI120" s="11"/>
      <c r="AJ120" s="10" t="str">
        <f t="shared" si="260"/>
        <v>South SUB</v>
      </c>
      <c r="AP120" s="9"/>
      <c r="AQ120" s="9"/>
      <c r="AR120" s="9"/>
      <c r="AS120" s="10"/>
      <c r="AT120" s="9"/>
      <c r="AU120" s="9"/>
      <c r="AV120" s="9"/>
      <c r="AW120" s="10"/>
      <c r="AX120" s="9"/>
      <c r="AY120" s="9"/>
      <c r="AZ120" s="9"/>
      <c r="BB120" s="10">
        <f>SUM(BB104:BB119)</f>
        <v>0</v>
      </c>
      <c r="BC120" s="10"/>
      <c r="BD120" s="10">
        <f>SUM(BD104:BD119)</f>
        <v>0</v>
      </c>
      <c r="BE120" s="10"/>
      <c r="BF120" s="10">
        <f>SUM(BF104:BF119)</f>
        <v>0</v>
      </c>
      <c r="BG120" s="10"/>
      <c r="BH120" s="10">
        <f>SUM(BH104:BH119)</f>
        <v>0</v>
      </c>
      <c r="BI120" s="10"/>
      <c r="BJ120" s="10">
        <f>SUM(BJ104:BJ119)</f>
        <v>0</v>
      </c>
      <c r="BK120" s="10"/>
      <c r="BL120" s="10">
        <f>SUM(BL104:BL119)</f>
        <v>0</v>
      </c>
    </row>
    <row r="121" spans="2:64" x14ac:dyDescent="0.2">
      <c r="AI121" s="4"/>
      <c r="AP121" s="5"/>
      <c r="AQ121" s="5"/>
      <c r="AR121" s="5"/>
      <c r="AT121" s="5"/>
      <c r="AU121" s="5"/>
      <c r="AV121" s="5"/>
      <c r="AX121" s="5"/>
      <c r="AY121" s="5"/>
      <c r="AZ121" s="5"/>
    </row>
    <row r="122" spans="2:64" x14ac:dyDescent="0.2">
      <c r="AI122" s="13">
        <v>1</v>
      </c>
      <c r="AJ122" s="3" t="str">
        <f t="shared" ref="AJ122:AJ138" si="267">B39</f>
        <v>Arizona</v>
      </c>
      <c r="AM122" s="5">
        <v>0</v>
      </c>
      <c r="AN122" s="5">
        <v>1</v>
      </c>
      <c r="AP122" s="5"/>
      <c r="AQ122" s="5"/>
      <c r="AR122" s="5"/>
      <c r="AT122" s="5"/>
      <c r="AU122" s="5"/>
      <c r="AV122" s="5"/>
      <c r="AX122" s="5"/>
      <c r="AY122" s="5"/>
      <c r="AZ122" s="5"/>
      <c r="BB122" s="3">
        <f t="shared" ref="BB122:BB137" si="268">IF($AN122=1,$AP122-$AT122,)</f>
        <v>0</v>
      </c>
      <c r="BD122" s="3">
        <f t="shared" ref="BD122:BD137" si="269">IF($AN122=1,($AP122-$AT122)*(6-$AM122),)</f>
        <v>0</v>
      </c>
      <c r="BF122" s="3" t="str">
        <f t="shared" ref="BF122:BF137" si="270">IF(AND($AZ$83&gt;0,$AN122=1),$AP122-$AX122,"")</f>
        <v/>
      </c>
      <c r="BH122" s="3" t="str">
        <f t="shared" ref="BH122:BH137" si="271">IF(AND($AZ$83&gt;0,$AN122=1),($AP122-$AX122)*(6-$AM122),"")</f>
        <v/>
      </c>
      <c r="BJ122" s="3" t="str">
        <f t="shared" ref="BJ122:BJ137" si="272">IF(AND($AZ$83&gt;0,$AN122=1),$AT122-$AX122,"")</f>
        <v/>
      </c>
      <c r="BL122" s="3" t="str">
        <f t="shared" ref="BL122:BL137" si="273">IF(AND($AZ$83&gt;0,$AN122=1),($AT122-$AX122)*(6-$AM122),"")</f>
        <v/>
      </c>
    </row>
    <row r="123" spans="2:64" x14ac:dyDescent="0.2">
      <c r="AI123" s="13">
        <v>16</v>
      </c>
      <c r="AJ123" s="3" t="str">
        <f t="shared" si="267"/>
        <v>Long Island</v>
      </c>
      <c r="AM123" s="5">
        <v>0</v>
      </c>
      <c r="AN123" s="5">
        <v>1</v>
      </c>
      <c r="AP123" s="5"/>
      <c r="AQ123" s="5"/>
      <c r="AR123" s="5"/>
      <c r="AT123" s="5"/>
      <c r="AU123" s="5"/>
      <c r="AV123" s="5"/>
      <c r="AX123" s="5"/>
      <c r="AY123" s="5"/>
      <c r="AZ123" s="5"/>
      <c r="BB123" s="3">
        <f t="shared" si="268"/>
        <v>0</v>
      </c>
      <c r="BD123" s="3">
        <f t="shared" si="269"/>
        <v>0</v>
      </c>
      <c r="BF123" s="3" t="str">
        <f t="shared" si="270"/>
        <v/>
      </c>
      <c r="BH123" s="3" t="str">
        <f t="shared" si="271"/>
        <v/>
      </c>
      <c r="BJ123" s="3" t="str">
        <f t="shared" si="272"/>
        <v/>
      </c>
      <c r="BL123" s="3" t="str">
        <f t="shared" si="273"/>
        <v/>
      </c>
    </row>
    <row r="124" spans="2:64" x14ac:dyDescent="0.2">
      <c r="AI124" s="13">
        <v>8</v>
      </c>
      <c r="AJ124" s="3" t="str">
        <f t="shared" si="267"/>
        <v>Villanova</v>
      </c>
      <c r="AM124" s="5">
        <v>0</v>
      </c>
      <c r="AN124" s="5">
        <v>1</v>
      </c>
      <c r="AP124" s="5"/>
      <c r="AQ124" s="5"/>
      <c r="AR124" s="5"/>
      <c r="AT124" s="5"/>
      <c r="AU124" s="5"/>
      <c r="AV124" s="5"/>
      <c r="AX124" s="5"/>
      <c r="AY124" s="5"/>
      <c r="AZ124" s="5"/>
      <c r="BB124" s="3">
        <f t="shared" si="268"/>
        <v>0</v>
      </c>
      <c r="BD124" s="3">
        <f t="shared" si="269"/>
        <v>0</v>
      </c>
      <c r="BF124" s="3" t="str">
        <f t="shared" si="270"/>
        <v/>
      </c>
      <c r="BH124" s="3" t="str">
        <f t="shared" si="271"/>
        <v/>
      </c>
      <c r="BJ124" s="3" t="str">
        <f t="shared" si="272"/>
        <v/>
      </c>
      <c r="BL124" s="3" t="str">
        <f t="shared" si="273"/>
        <v/>
      </c>
    </row>
    <row r="125" spans="2:64" x14ac:dyDescent="0.2">
      <c r="AI125" s="13">
        <v>9</v>
      </c>
      <c r="AJ125" s="3" t="str">
        <f t="shared" si="267"/>
        <v>Utah St.</v>
      </c>
      <c r="AM125" s="5">
        <v>0</v>
      </c>
      <c r="AN125" s="5">
        <v>1</v>
      </c>
      <c r="AP125" s="5"/>
      <c r="AQ125" s="5"/>
      <c r="AR125" s="5"/>
      <c r="AT125" s="5"/>
      <c r="AU125" s="5"/>
      <c r="AV125" s="5"/>
      <c r="AX125" s="5"/>
      <c r="AY125" s="5"/>
      <c r="AZ125" s="5"/>
      <c r="BB125" s="3">
        <f t="shared" si="268"/>
        <v>0</v>
      </c>
      <c r="BD125" s="3">
        <f t="shared" si="269"/>
        <v>0</v>
      </c>
      <c r="BF125" s="3" t="str">
        <f t="shared" si="270"/>
        <v/>
      </c>
      <c r="BH125" s="3" t="str">
        <f t="shared" si="271"/>
        <v/>
      </c>
      <c r="BJ125" s="3" t="str">
        <f t="shared" si="272"/>
        <v/>
      </c>
      <c r="BL125" s="3" t="str">
        <f t="shared" si="273"/>
        <v/>
      </c>
    </row>
    <row r="126" spans="2:64" x14ac:dyDescent="0.2">
      <c r="AI126" s="13">
        <v>5</v>
      </c>
      <c r="AJ126" s="3" t="str">
        <f t="shared" si="267"/>
        <v>Wisconsin</v>
      </c>
      <c r="AM126" s="5">
        <v>0</v>
      </c>
      <c r="AN126" s="5">
        <v>1</v>
      </c>
      <c r="AP126" s="5"/>
      <c r="AQ126" s="5"/>
      <c r="AR126" s="5"/>
      <c r="AT126" s="5"/>
      <c r="AU126" s="5"/>
      <c r="AV126" s="5"/>
      <c r="AX126" s="5"/>
      <c r="AY126" s="5"/>
      <c r="AZ126" s="5"/>
      <c r="BB126" s="3">
        <f t="shared" si="268"/>
        <v>0</v>
      </c>
      <c r="BD126" s="3">
        <f t="shared" si="269"/>
        <v>0</v>
      </c>
      <c r="BF126" s="3" t="str">
        <f t="shared" si="270"/>
        <v/>
      </c>
      <c r="BH126" s="3" t="str">
        <f t="shared" si="271"/>
        <v/>
      </c>
      <c r="BJ126" s="3" t="str">
        <f t="shared" si="272"/>
        <v/>
      </c>
      <c r="BL126" s="3" t="str">
        <f t="shared" si="273"/>
        <v/>
      </c>
    </row>
    <row r="127" spans="2:64" x14ac:dyDescent="0.2">
      <c r="AI127" s="13">
        <v>12</v>
      </c>
      <c r="AJ127" s="3" t="str">
        <f t="shared" si="267"/>
        <v>High Point</v>
      </c>
      <c r="AM127" s="5">
        <v>0</v>
      </c>
      <c r="AN127" s="5">
        <v>1</v>
      </c>
      <c r="AP127" s="5"/>
      <c r="AQ127" s="5"/>
      <c r="AR127" s="5"/>
      <c r="AT127" s="5"/>
      <c r="AU127" s="5"/>
      <c r="AV127" s="5"/>
      <c r="AX127" s="5"/>
      <c r="AY127" s="5"/>
      <c r="AZ127" s="5"/>
      <c r="BB127" s="3">
        <f t="shared" si="268"/>
        <v>0</v>
      </c>
      <c r="BD127" s="3">
        <f t="shared" si="269"/>
        <v>0</v>
      </c>
      <c r="BF127" s="3" t="str">
        <f t="shared" si="270"/>
        <v/>
      </c>
      <c r="BH127" s="3" t="str">
        <f t="shared" si="271"/>
        <v/>
      </c>
      <c r="BJ127" s="3" t="str">
        <f t="shared" si="272"/>
        <v/>
      </c>
      <c r="BL127" s="3" t="str">
        <f t="shared" si="273"/>
        <v/>
      </c>
    </row>
    <row r="128" spans="2:64" x14ac:dyDescent="0.2">
      <c r="AI128" s="13">
        <v>4</v>
      </c>
      <c r="AJ128" s="3" t="str">
        <f t="shared" si="267"/>
        <v>Arkansas</v>
      </c>
      <c r="AM128" s="5">
        <v>0</v>
      </c>
      <c r="AN128" s="5">
        <v>1</v>
      </c>
      <c r="AP128" s="5"/>
      <c r="AQ128" s="5"/>
      <c r="AR128" s="5"/>
      <c r="AT128" s="5"/>
      <c r="AU128" s="5"/>
      <c r="AV128" s="5"/>
      <c r="AX128" s="5"/>
      <c r="AY128" s="5"/>
      <c r="AZ128" s="5"/>
      <c r="BB128" s="3">
        <f t="shared" si="268"/>
        <v>0</v>
      </c>
      <c r="BD128" s="3">
        <f t="shared" si="269"/>
        <v>0</v>
      </c>
      <c r="BF128" s="3" t="str">
        <f t="shared" si="270"/>
        <v/>
      </c>
      <c r="BH128" s="3" t="str">
        <f t="shared" si="271"/>
        <v/>
      </c>
      <c r="BJ128" s="3" t="str">
        <f t="shared" si="272"/>
        <v/>
      </c>
      <c r="BL128" s="3" t="str">
        <f t="shared" si="273"/>
        <v/>
      </c>
    </row>
    <row r="129" spans="35:64" x14ac:dyDescent="0.2">
      <c r="AI129" s="13">
        <v>13</v>
      </c>
      <c r="AJ129" s="3" t="str">
        <f t="shared" si="267"/>
        <v>Hawaii</v>
      </c>
      <c r="AM129" s="5">
        <v>0</v>
      </c>
      <c r="AN129" s="5">
        <v>1</v>
      </c>
      <c r="AP129" s="5"/>
      <c r="AQ129" s="5"/>
      <c r="AR129" s="5"/>
      <c r="AT129" s="5"/>
      <c r="AU129" s="5"/>
      <c r="AV129" s="5"/>
      <c r="AX129" s="5"/>
      <c r="AY129" s="5"/>
      <c r="AZ129" s="5"/>
      <c r="BB129" s="3">
        <f t="shared" si="268"/>
        <v>0</v>
      </c>
      <c r="BD129" s="3">
        <f t="shared" si="269"/>
        <v>0</v>
      </c>
      <c r="BF129" s="3" t="str">
        <f t="shared" si="270"/>
        <v/>
      </c>
      <c r="BH129" s="3" t="str">
        <f t="shared" si="271"/>
        <v/>
      </c>
      <c r="BJ129" s="3" t="str">
        <f t="shared" si="272"/>
        <v/>
      </c>
      <c r="BL129" s="3" t="str">
        <f t="shared" si="273"/>
        <v/>
      </c>
    </row>
    <row r="130" spans="35:64" x14ac:dyDescent="0.2">
      <c r="AI130" s="13">
        <v>6</v>
      </c>
      <c r="AJ130" s="3" t="str">
        <f t="shared" si="267"/>
        <v>BYU</v>
      </c>
      <c r="AM130" s="5">
        <v>0</v>
      </c>
      <c r="AN130" s="5">
        <v>1</v>
      </c>
      <c r="AP130" s="5"/>
      <c r="AQ130" s="5"/>
      <c r="AR130" s="5"/>
      <c r="AT130" s="5"/>
      <c r="AU130" s="5"/>
      <c r="AV130" s="5"/>
      <c r="AX130" s="5"/>
      <c r="AY130" s="5"/>
      <c r="AZ130" s="5"/>
      <c r="BB130" s="3">
        <f t="shared" si="268"/>
        <v>0</v>
      </c>
      <c r="BD130" s="3">
        <f t="shared" si="269"/>
        <v>0</v>
      </c>
      <c r="BF130" s="3" t="str">
        <f t="shared" si="270"/>
        <v/>
      </c>
      <c r="BH130" s="3" t="str">
        <f t="shared" si="271"/>
        <v/>
      </c>
      <c r="BJ130" s="3" t="str">
        <f t="shared" si="272"/>
        <v/>
      </c>
      <c r="BL130" s="3" t="str">
        <f t="shared" si="273"/>
        <v/>
      </c>
    </row>
    <row r="131" spans="35:64" x14ac:dyDescent="0.2">
      <c r="AI131" s="13">
        <v>11</v>
      </c>
      <c r="AJ131" s="3" t="str">
        <f t="shared" si="267"/>
        <v>Texas/NC State</v>
      </c>
      <c r="AM131" s="5">
        <v>0</v>
      </c>
      <c r="AN131" s="5">
        <v>1</v>
      </c>
      <c r="AP131" s="5"/>
      <c r="AQ131" s="5"/>
      <c r="AR131" s="5"/>
      <c r="AT131" s="5"/>
      <c r="AU131" s="5"/>
      <c r="AV131" s="5"/>
      <c r="AX131" s="5"/>
      <c r="AY131" s="5"/>
      <c r="AZ131" s="5"/>
      <c r="BB131" s="3">
        <f t="shared" si="268"/>
        <v>0</v>
      </c>
      <c r="BD131" s="3">
        <f t="shared" si="269"/>
        <v>0</v>
      </c>
      <c r="BF131" s="3" t="str">
        <f t="shared" si="270"/>
        <v/>
      </c>
      <c r="BH131" s="3" t="str">
        <f t="shared" si="271"/>
        <v/>
      </c>
      <c r="BJ131" s="3" t="str">
        <f t="shared" si="272"/>
        <v/>
      </c>
      <c r="BL131" s="3" t="str">
        <f t="shared" si="273"/>
        <v/>
      </c>
    </row>
    <row r="132" spans="35:64" x14ac:dyDescent="0.2">
      <c r="AI132" s="13">
        <v>3</v>
      </c>
      <c r="AJ132" s="3" t="str">
        <f t="shared" si="267"/>
        <v>Gonzaga</v>
      </c>
      <c r="AM132" s="5">
        <v>0</v>
      </c>
      <c r="AN132" s="5">
        <v>1</v>
      </c>
      <c r="AP132" s="5"/>
      <c r="AQ132" s="5"/>
      <c r="AR132" s="5"/>
      <c r="AT132" s="5"/>
      <c r="AU132" s="5"/>
      <c r="AV132" s="5"/>
      <c r="AX132" s="5"/>
      <c r="AY132" s="5"/>
      <c r="AZ132" s="5"/>
      <c r="BB132" s="3">
        <f t="shared" si="268"/>
        <v>0</v>
      </c>
      <c r="BD132" s="3">
        <f t="shared" si="269"/>
        <v>0</v>
      </c>
      <c r="BF132" s="3" t="str">
        <f t="shared" si="270"/>
        <v/>
      </c>
      <c r="BH132" s="3" t="str">
        <f t="shared" si="271"/>
        <v/>
      </c>
      <c r="BJ132" s="3" t="str">
        <f t="shared" si="272"/>
        <v/>
      </c>
      <c r="BL132" s="3" t="str">
        <f t="shared" si="273"/>
        <v/>
      </c>
    </row>
    <row r="133" spans="35:64" x14ac:dyDescent="0.2">
      <c r="AI133" s="13">
        <v>14</v>
      </c>
      <c r="AJ133" s="3" t="str">
        <f t="shared" si="267"/>
        <v>KennesawSt.</v>
      </c>
      <c r="AM133" s="5">
        <v>0</v>
      </c>
      <c r="AN133" s="5">
        <v>1</v>
      </c>
      <c r="AP133" s="5"/>
      <c r="AQ133" s="5"/>
      <c r="AR133" s="5"/>
      <c r="AT133" s="5"/>
      <c r="AU133" s="5"/>
      <c r="AV133" s="5"/>
      <c r="AX133" s="5"/>
      <c r="AY133" s="5"/>
      <c r="AZ133" s="5"/>
      <c r="BB133" s="3">
        <f t="shared" si="268"/>
        <v>0</v>
      </c>
      <c r="BD133" s="3">
        <f t="shared" si="269"/>
        <v>0</v>
      </c>
      <c r="BF133" s="3" t="str">
        <f t="shared" si="270"/>
        <v/>
      </c>
      <c r="BH133" s="3" t="str">
        <f t="shared" si="271"/>
        <v/>
      </c>
      <c r="BJ133" s="3" t="str">
        <f t="shared" si="272"/>
        <v/>
      </c>
      <c r="BL133" s="3" t="str">
        <f t="shared" si="273"/>
        <v/>
      </c>
    </row>
    <row r="134" spans="35:64" x14ac:dyDescent="0.2">
      <c r="AI134" s="13">
        <v>7</v>
      </c>
      <c r="AJ134" s="3" t="str">
        <f t="shared" si="267"/>
        <v>Miami (FL)</v>
      </c>
      <c r="AM134" s="5">
        <v>0</v>
      </c>
      <c r="AN134" s="5">
        <v>1</v>
      </c>
      <c r="AP134" s="5"/>
      <c r="AQ134" s="5"/>
      <c r="AR134" s="5"/>
      <c r="AT134" s="5"/>
      <c r="AU134" s="5"/>
      <c r="AV134" s="5"/>
      <c r="AX134" s="5"/>
      <c r="AY134" s="5"/>
      <c r="AZ134" s="5"/>
      <c r="BB134" s="3">
        <f t="shared" si="268"/>
        <v>0</v>
      </c>
      <c r="BD134" s="3">
        <f t="shared" si="269"/>
        <v>0</v>
      </c>
      <c r="BF134" s="3" t="str">
        <f t="shared" si="270"/>
        <v/>
      </c>
      <c r="BH134" s="3" t="str">
        <f t="shared" si="271"/>
        <v/>
      </c>
      <c r="BJ134" s="3" t="str">
        <f t="shared" si="272"/>
        <v/>
      </c>
      <c r="BL134" s="3" t="str">
        <f t="shared" si="273"/>
        <v/>
      </c>
    </row>
    <row r="135" spans="35:64" x14ac:dyDescent="0.2">
      <c r="AI135" s="13">
        <v>10</v>
      </c>
      <c r="AJ135" s="3" t="str">
        <f t="shared" si="267"/>
        <v>Missouri</v>
      </c>
      <c r="AM135" s="5">
        <v>0</v>
      </c>
      <c r="AN135" s="5">
        <v>1</v>
      </c>
      <c r="AP135" s="5"/>
      <c r="AQ135" s="5"/>
      <c r="AR135" s="5"/>
      <c r="AT135" s="5"/>
      <c r="AU135" s="5"/>
      <c r="AV135" s="5"/>
      <c r="AX135" s="5"/>
      <c r="AY135" s="5"/>
      <c r="AZ135" s="5"/>
      <c r="BB135" s="3">
        <f t="shared" si="268"/>
        <v>0</v>
      </c>
      <c r="BD135" s="3">
        <f t="shared" si="269"/>
        <v>0</v>
      </c>
      <c r="BF135" s="3" t="str">
        <f t="shared" si="270"/>
        <v/>
      </c>
      <c r="BH135" s="3" t="str">
        <f t="shared" si="271"/>
        <v/>
      </c>
      <c r="BJ135" s="3" t="str">
        <f t="shared" si="272"/>
        <v/>
      </c>
      <c r="BL135" s="3" t="str">
        <f t="shared" si="273"/>
        <v/>
      </c>
    </row>
    <row r="136" spans="35:64" x14ac:dyDescent="0.2">
      <c r="AI136" s="13">
        <v>2</v>
      </c>
      <c r="AJ136" s="3" t="str">
        <f t="shared" si="267"/>
        <v>Purdue</v>
      </c>
      <c r="AM136" s="5">
        <v>0</v>
      </c>
      <c r="AN136" s="5">
        <v>1</v>
      </c>
      <c r="AP136" s="5"/>
      <c r="AQ136" s="5"/>
      <c r="AR136" s="5"/>
      <c r="AT136" s="5"/>
      <c r="AU136" s="5"/>
      <c r="AV136" s="5"/>
      <c r="AX136" s="5"/>
      <c r="AY136" s="5"/>
      <c r="AZ136" s="5"/>
      <c r="BB136" s="3">
        <f t="shared" si="268"/>
        <v>0</v>
      </c>
      <c r="BD136" s="3">
        <f t="shared" si="269"/>
        <v>0</v>
      </c>
      <c r="BF136" s="3" t="str">
        <f t="shared" si="270"/>
        <v/>
      </c>
      <c r="BH136" s="3" t="str">
        <f t="shared" si="271"/>
        <v/>
      </c>
      <c r="BJ136" s="3" t="str">
        <f t="shared" si="272"/>
        <v/>
      </c>
      <c r="BL136" s="3" t="str">
        <f t="shared" si="273"/>
        <v/>
      </c>
    </row>
    <row r="137" spans="35:64" x14ac:dyDescent="0.2">
      <c r="AI137" s="13">
        <v>15</v>
      </c>
      <c r="AJ137" s="3" t="str">
        <f t="shared" si="267"/>
        <v>Queens (NC)</v>
      </c>
      <c r="AM137" s="5">
        <v>0</v>
      </c>
      <c r="AN137" s="5">
        <v>1</v>
      </c>
      <c r="AP137" s="5"/>
      <c r="AQ137" s="5"/>
      <c r="AR137" s="5"/>
      <c r="AT137" s="5"/>
      <c r="AU137" s="5"/>
      <c r="AV137" s="5"/>
      <c r="AX137" s="5"/>
      <c r="AY137" s="5"/>
      <c r="AZ137" s="5"/>
      <c r="BB137" s="3">
        <f t="shared" si="268"/>
        <v>0</v>
      </c>
      <c r="BD137" s="3">
        <f t="shared" si="269"/>
        <v>0</v>
      </c>
      <c r="BF137" s="3" t="str">
        <f t="shared" si="270"/>
        <v/>
      </c>
      <c r="BH137" s="3" t="str">
        <f t="shared" si="271"/>
        <v/>
      </c>
      <c r="BJ137" s="3" t="str">
        <f t="shared" si="272"/>
        <v/>
      </c>
      <c r="BL137" s="3" t="str">
        <f t="shared" si="273"/>
        <v/>
      </c>
    </row>
    <row r="138" spans="35:64" x14ac:dyDescent="0.2">
      <c r="AI138" s="11"/>
      <c r="AJ138" s="10" t="str">
        <f t="shared" si="267"/>
        <v>West SUB</v>
      </c>
      <c r="AP138" s="9"/>
      <c r="AQ138" s="9"/>
      <c r="AR138" s="9"/>
      <c r="AS138" s="10"/>
      <c r="AT138" s="9"/>
      <c r="AU138" s="9"/>
      <c r="AV138" s="9"/>
      <c r="AW138" s="10"/>
      <c r="AX138" s="9"/>
      <c r="AY138" s="9"/>
      <c r="AZ138" s="9"/>
      <c r="BB138" s="10">
        <f>SUM(BB122:BB137)</f>
        <v>0</v>
      </c>
      <c r="BC138" s="10"/>
      <c r="BD138" s="10">
        <f>SUM(BD122:BD137)</f>
        <v>0</v>
      </c>
      <c r="BE138" s="10"/>
      <c r="BF138" s="10">
        <f>SUM(BF122:BF137)</f>
        <v>0</v>
      </c>
      <c r="BG138" s="10"/>
      <c r="BH138" s="10">
        <f>SUM(BH122:BH137)</f>
        <v>0</v>
      </c>
      <c r="BI138" s="10"/>
      <c r="BJ138" s="10">
        <f>SUM(BJ122:BJ137)</f>
        <v>0</v>
      </c>
      <c r="BK138" s="10"/>
      <c r="BL138" s="10">
        <f>SUM(BL122:BL137)</f>
        <v>0</v>
      </c>
    </row>
    <row r="139" spans="35:64" x14ac:dyDescent="0.2">
      <c r="AI139" s="4"/>
      <c r="AP139" s="5"/>
      <c r="AQ139" s="5"/>
      <c r="AR139" s="5"/>
      <c r="AT139" s="5"/>
      <c r="AU139" s="5"/>
      <c r="AV139" s="5"/>
      <c r="AX139" s="5"/>
      <c r="AY139" s="5"/>
      <c r="AZ139" s="5"/>
    </row>
    <row r="140" spans="35:64" x14ac:dyDescent="0.2">
      <c r="AI140" s="13">
        <v>1</v>
      </c>
      <c r="AJ140" s="3" t="str">
        <f t="shared" ref="AJ140:AJ156" si="274">B57</f>
        <v>Michigan</v>
      </c>
      <c r="AM140" s="5">
        <v>0</v>
      </c>
      <c r="AN140" s="5">
        <v>1</v>
      </c>
      <c r="AP140" s="5"/>
      <c r="AQ140" s="5"/>
      <c r="AR140" s="5"/>
      <c r="AT140" s="5"/>
      <c r="AU140" s="5"/>
      <c r="AV140" s="5"/>
      <c r="AX140" s="5"/>
      <c r="AY140" s="5"/>
      <c r="AZ140" s="5"/>
      <c r="BB140" s="3">
        <f t="shared" ref="BB140:BB155" si="275">IF($AN140=1,$AP140-$AT140,)</f>
        <v>0</v>
      </c>
      <c r="BD140" s="3">
        <f t="shared" ref="BD140:BD155" si="276">IF($AN140=1,($AP140-$AT140)*(6-$AM140),)</f>
        <v>0</v>
      </c>
      <c r="BF140" s="3" t="str">
        <f t="shared" ref="BF140:BF155" si="277">IF(AND($AZ$83&gt;0,$AN140=1),$AP140-$AX140,"")</f>
        <v/>
      </c>
      <c r="BH140" s="3" t="str">
        <f t="shared" ref="BH140:BH155" si="278">IF(AND($AZ$83&gt;0,$AN140=1),($AP140-$AX140)*(6-$AM140),"")</f>
        <v/>
      </c>
      <c r="BJ140" s="3" t="str">
        <f t="shared" ref="BJ140:BJ155" si="279">IF(AND($AZ$83&gt;0,$AN140=1),$AT140-$AX140,"")</f>
        <v/>
      </c>
      <c r="BL140" s="3" t="str">
        <f t="shared" ref="BL140:BL155" si="280">IF(AND($AZ$83&gt;0,$AN140=1),($AT140-$AX140)*(6-$AM140),"")</f>
        <v/>
      </c>
    </row>
    <row r="141" spans="35:64" x14ac:dyDescent="0.2">
      <c r="AI141" s="13">
        <v>16</v>
      </c>
      <c r="AJ141" s="3" t="str">
        <f t="shared" si="274"/>
        <v>UMBC/Howard</v>
      </c>
      <c r="AM141" s="5">
        <v>0</v>
      </c>
      <c r="AN141" s="5">
        <v>1</v>
      </c>
      <c r="AP141" s="5"/>
      <c r="AQ141" s="5"/>
      <c r="AR141" s="5"/>
      <c r="AT141" s="5"/>
      <c r="AU141" s="5"/>
      <c r="AV141" s="5"/>
      <c r="AX141" s="5"/>
      <c r="AY141" s="5"/>
      <c r="AZ141" s="5"/>
      <c r="BB141" s="3">
        <f t="shared" si="275"/>
        <v>0</v>
      </c>
      <c r="BD141" s="3">
        <f t="shared" si="276"/>
        <v>0</v>
      </c>
      <c r="BF141" s="3" t="str">
        <f t="shared" si="277"/>
        <v/>
      </c>
      <c r="BH141" s="3" t="str">
        <f t="shared" si="278"/>
        <v/>
      </c>
      <c r="BJ141" s="3" t="str">
        <f t="shared" si="279"/>
        <v/>
      </c>
      <c r="BL141" s="3" t="str">
        <f t="shared" si="280"/>
        <v/>
      </c>
    </row>
    <row r="142" spans="35:64" x14ac:dyDescent="0.2">
      <c r="AI142" s="13">
        <v>8</v>
      </c>
      <c r="AJ142" s="3" t="str">
        <f t="shared" si="274"/>
        <v>Georgia</v>
      </c>
      <c r="AM142" s="5">
        <v>0</v>
      </c>
      <c r="AN142" s="5">
        <v>1</v>
      </c>
      <c r="AP142" s="5"/>
      <c r="AQ142" s="5"/>
      <c r="AR142" s="5"/>
      <c r="AT142" s="5"/>
      <c r="AU142" s="5"/>
      <c r="AV142" s="5"/>
      <c r="AX142" s="5"/>
      <c r="AY142" s="5"/>
      <c r="AZ142" s="5"/>
      <c r="BB142" s="3">
        <f t="shared" si="275"/>
        <v>0</v>
      </c>
      <c r="BD142" s="3">
        <f t="shared" si="276"/>
        <v>0</v>
      </c>
      <c r="BF142" s="3" t="str">
        <f t="shared" si="277"/>
        <v/>
      </c>
      <c r="BH142" s="3" t="str">
        <f t="shared" si="278"/>
        <v/>
      </c>
      <c r="BJ142" s="3" t="str">
        <f t="shared" si="279"/>
        <v/>
      </c>
      <c r="BL142" s="3" t="str">
        <f t="shared" si="280"/>
        <v/>
      </c>
    </row>
    <row r="143" spans="35:64" x14ac:dyDescent="0.2">
      <c r="AI143" s="13">
        <v>9</v>
      </c>
      <c r="AJ143" s="3" t="str">
        <f t="shared" si="274"/>
        <v>Saint Louis</v>
      </c>
      <c r="AM143" s="5">
        <v>0</v>
      </c>
      <c r="AN143" s="5">
        <v>1</v>
      </c>
      <c r="AP143" s="5"/>
      <c r="AQ143" s="5"/>
      <c r="AR143" s="5"/>
      <c r="AT143" s="5"/>
      <c r="AU143" s="5"/>
      <c r="AV143" s="5"/>
      <c r="AX143" s="5"/>
      <c r="AY143" s="5"/>
      <c r="AZ143" s="5"/>
      <c r="BB143" s="3">
        <f t="shared" si="275"/>
        <v>0</v>
      </c>
      <c r="BD143" s="3">
        <f t="shared" si="276"/>
        <v>0</v>
      </c>
      <c r="BF143" s="3" t="str">
        <f t="shared" si="277"/>
        <v/>
      </c>
      <c r="BH143" s="3" t="str">
        <f t="shared" si="278"/>
        <v/>
      </c>
      <c r="BJ143" s="3" t="str">
        <f t="shared" si="279"/>
        <v/>
      </c>
      <c r="BL143" s="3" t="str">
        <f t="shared" si="280"/>
        <v/>
      </c>
    </row>
    <row r="144" spans="35:64" x14ac:dyDescent="0.2">
      <c r="AI144" s="13">
        <v>5</v>
      </c>
      <c r="AJ144" s="3" t="str">
        <f t="shared" si="274"/>
        <v>Texas Tech</v>
      </c>
      <c r="AM144" s="5">
        <v>0</v>
      </c>
      <c r="AN144" s="5">
        <v>1</v>
      </c>
      <c r="AP144" s="5"/>
      <c r="AQ144" s="5"/>
      <c r="AR144" s="5"/>
      <c r="AT144" s="5"/>
      <c r="AU144" s="5"/>
      <c r="AV144" s="5"/>
      <c r="AX144" s="5"/>
      <c r="AY144" s="5"/>
      <c r="AZ144" s="5"/>
      <c r="BB144" s="3">
        <f t="shared" si="275"/>
        <v>0</v>
      </c>
      <c r="BD144" s="3">
        <f t="shared" si="276"/>
        <v>0</v>
      </c>
      <c r="BF144" s="3" t="str">
        <f t="shared" si="277"/>
        <v/>
      </c>
      <c r="BH144" s="3" t="str">
        <f t="shared" si="278"/>
        <v/>
      </c>
      <c r="BJ144" s="3" t="str">
        <f t="shared" si="279"/>
        <v/>
      </c>
      <c r="BL144" s="3" t="str">
        <f t="shared" si="280"/>
        <v/>
      </c>
    </row>
    <row r="145" spans="35:64" x14ac:dyDescent="0.2">
      <c r="AI145" s="13">
        <v>12</v>
      </c>
      <c r="AJ145" s="3" t="str">
        <f t="shared" si="274"/>
        <v>Akron</v>
      </c>
      <c r="AM145" s="5">
        <v>0</v>
      </c>
      <c r="AN145" s="5">
        <v>1</v>
      </c>
      <c r="AP145" s="5"/>
      <c r="AQ145" s="5"/>
      <c r="AR145" s="5"/>
      <c r="AT145" s="5"/>
      <c r="AU145" s="5"/>
      <c r="AV145" s="5"/>
      <c r="AX145" s="5"/>
      <c r="AY145" s="5"/>
      <c r="AZ145" s="5"/>
      <c r="BB145" s="3">
        <f t="shared" si="275"/>
        <v>0</v>
      </c>
      <c r="BD145" s="3">
        <f t="shared" si="276"/>
        <v>0</v>
      </c>
      <c r="BF145" s="3" t="str">
        <f t="shared" si="277"/>
        <v/>
      </c>
      <c r="BH145" s="3" t="str">
        <f t="shared" si="278"/>
        <v/>
      </c>
      <c r="BJ145" s="3" t="str">
        <f t="shared" si="279"/>
        <v/>
      </c>
      <c r="BL145" s="3" t="str">
        <f t="shared" si="280"/>
        <v/>
      </c>
    </row>
    <row r="146" spans="35:64" x14ac:dyDescent="0.2">
      <c r="AI146" s="13">
        <v>4</v>
      </c>
      <c r="AJ146" s="3" t="str">
        <f t="shared" si="274"/>
        <v>Alabama</v>
      </c>
      <c r="AM146" s="5">
        <v>0</v>
      </c>
      <c r="AN146" s="5">
        <v>1</v>
      </c>
      <c r="AP146" s="5"/>
      <c r="AQ146" s="5"/>
      <c r="AR146" s="5"/>
      <c r="AT146" s="5"/>
      <c r="AU146" s="5"/>
      <c r="AV146" s="5"/>
      <c r="AX146" s="5"/>
      <c r="AY146" s="5"/>
      <c r="AZ146" s="5"/>
      <c r="BB146" s="3">
        <f t="shared" si="275"/>
        <v>0</v>
      </c>
      <c r="BD146" s="3">
        <f t="shared" si="276"/>
        <v>0</v>
      </c>
      <c r="BF146" s="3" t="str">
        <f t="shared" si="277"/>
        <v/>
      </c>
      <c r="BH146" s="3" t="str">
        <f t="shared" si="278"/>
        <v/>
      </c>
      <c r="BJ146" s="3" t="str">
        <f t="shared" si="279"/>
        <v/>
      </c>
      <c r="BL146" s="3" t="str">
        <f t="shared" si="280"/>
        <v/>
      </c>
    </row>
    <row r="147" spans="35:64" x14ac:dyDescent="0.2">
      <c r="AI147" s="13">
        <v>13</v>
      </c>
      <c r="AJ147" s="3" t="str">
        <f t="shared" si="274"/>
        <v>Hofstra</v>
      </c>
      <c r="AM147" s="5">
        <v>0</v>
      </c>
      <c r="AN147" s="5">
        <v>1</v>
      </c>
      <c r="AP147" s="5"/>
      <c r="AQ147" s="5"/>
      <c r="AR147" s="5"/>
      <c r="AT147" s="5"/>
      <c r="AU147" s="5"/>
      <c r="AV147" s="5"/>
      <c r="AX147" s="5"/>
      <c r="AY147" s="5"/>
      <c r="AZ147" s="5"/>
      <c r="BB147" s="3">
        <f t="shared" si="275"/>
        <v>0</v>
      </c>
      <c r="BD147" s="3">
        <f t="shared" si="276"/>
        <v>0</v>
      </c>
      <c r="BF147" s="3" t="str">
        <f t="shared" si="277"/>
        <v/>
      </c>
      <c r="BH147" s="3" t="str">
        <f t="shared" si="278"/>
        <v/>
      </c>
      <c r="BJ147" s="3" t="str">
        <f t="shared" si="279"/>
        <v/>
      </c>
      <c r="BL147" s="3" t="str">
        <f t="shared" si="280"/>
        <v/>
      </c>
    </row>
    <row r="148" spans="35:64" x14ac:dyDescent="0.2">
      <c r="AI148" s="13">
        <v>6</v>
      </c>
      <c r="AJ148" s="3" t="str">
        <f t="shared" si="274"/>
        <v>Tennessee</v>
      </c>
      <c r="AM148" s="5">
        <v>0</v>
      </c>
      <c r="AN148" s="5">
        <v>1</v>
      </c>
      <c r="AP148" s="5"/>
      <c r="AQ148" s="5"/>
      <c r="AR148" s="5"/>
      <c r="AT148" s="5"/>
      <c r="AU148" s="5"/>
      <c r="AV148" s="5"/>
      <c r="AX148" s="5"/>
      <c r="AY148" s="5"/>
      <c r="AZ148" s="5"/>
      <c r="BB148" s="3">
        <f t="shared" si="275"/>
        <v>0</v>
      </c>
      <c r="BD148" s="3">
        <f t="shared" si="276"/>
        <v>0</v>
      </c>
      <c r="BF148" s="3" t="str">
        <f t="shared" si="277"/>
        <v/>
      </c>
      <c r="BH148" s="3" t="str">
        <f t="shared" si="278"/>
        <v/>
      </c>
      <c r="BJ148" s="3" t="str">
        <f t="shared" si="279"/>
        <v/>
      </c>
      <c r="BL148" s="3" t="str">
        <f t="shared" si="280"/>
        <v/>
      </c>
    </row>
    <row r="149" spans="35:64" x14ac:dyDescent="0.2">
      <c r="AI149" s="13">
        <v>11</v>
      </c>
      <c r="AJ149" s="3" t="str">
        <f t="shared" si="274"/>
        <v>Miami(OH)/SMU</v>
      </c>
      <c r="AM149" s="5">
        <v>0</v>
      </c>
      <c r="AN149" s="5">
        <v>1</v>
      </c>
      <c r="AP149" s="5"/>
      <c r="AQ149" s="5"/>
      <c r="AR149" s="5"/>
      <c r="AT149" s="5"/>
      <c r="AU149" s="5"/>
      <c r="AV149" s="5"/>
      <c r="AX149" s="5"/>
      <c r="AY149" s="5"/>
      <c r="AZ149" s="5"/>
      <c r="BB149" s="3">
        <f t="shared" si="275"/>
        <v>0</v>
      </c>
      <c r="BD149" s="3">
        <f t="shared" si="276"/>
        <v>0</v>
      </c>
      <c r="BF149" s="3" t="str">
        <f t="shared" si="277"/>
        <v/>
      </c>
      <c r="BH149" s="3" t="str">
        <f t="shared" si="278"/>
        <v/>
      </c>
      <c r="BJ149" s="3" t="str">
        <f t="shared" si="279"/>
        <v/>
      </c>
      <c r="BL149" s="3" t="str">
        <f t="shared" si="280"/>
        <v/>
      </c>
    </row>
    <row r="150" spans="35:64" x14ac:dyDescent="0.2">
      <c r="AI150" s="13">
        <v>3</v>
      </c>
      <c r="AJ150" s="3" t="str">
        <f t="shared" si="274"/>
        <v>Virginia</v>
      </c>
      <c r="AM150" s="5">
        <v>0</v>
      </c>
      <c r="AN150" s="5">
        <v>1</v>
      </c>
      <c r="AP150" s="5"/>
      <c r="AQ150" s="5"/>
      <c r="AR150" s="5"/>
      <c r="AT150" s="5"/>
      <c r="AU150" s="5"/>
      <c r="AV150" s="5"/>
      <c r="AX150" s="5"/>
      <c r="AY150" s="5"/>
      <c r="AZ150" s="5"/>
      <c r="BB150" s="3">
        <f t="shared" si="275"/>
        <v>0</v>
      </c>
      <c r="BD150" s="3">
        <f t="shared" si="276"/>
        <v>0</v>
      </c>
      <c r="BF150" s="3" t="str">
        <f t="shared" si="277"/>
        <v/>
      </c>
      <c r="BH150" s="3" t="str">
        <f t="shared" si="278"/>
        <v/>
      </c>
      <c r="BJ150" s="3" t="str">
        <f t="shared" si="279"/>
        <v/>
      </c>
      <c r="BL150" s="3" t="str">
        <f t="shared" si="280"/>
        <v/>
      </c>
    </row>
    <row r="151" spans="35:64" x14ac:dyDescent="0.2">
      <c r="AI151" s="13">
        <v>14</v>
      </c>
      <c r="AJ151" s="3" t="str">
        <f t="shared" si="274"/>
        <v>Wright St.</v>
      </c>
      <c r="AM151" s="5">
        <v>0</v>
      </c>
      <c r="AN151" s="5">
        <v>1</v>
      </c>
      <c r="AP151" s="5"/>
      <c r="AQ151" s="5"/>
      <c r="AR151" s="5"/>
      <c r="AT151" s="5"/>
      <c r="AU151" s="5"/>
      <c r="AV151" s="5"/>
      <c r="AX151" s="5"/>
      <c r="AY151" s="5"/>
      <c r="AZ151" s="5"/>
      <c r="BB151" s="3">
        <f t="shared" si="275"/>
        <v>0</v>
      </c>
      <c r="BD151" s="3">
        <f t="shared" si="276"/>
        <v>0</v>
      </c>
      <c r="BF151" s="3" t="str">
        <f t="shared" si="277"/>
        <v/>
      </c>
      <c r="BH151" s="3" t="str">
        <f t="shared" si="278"/>
        <v/>
      </c>
      <c r="BJ151" s="3" t="str">
        <f t="shared" si="279"/>
        <v/>
      </c>
      <c r="BL151" s="3" t="str">
        <f t="shared" si="280"/>
        <v/>
      </c>
    </row>
    <row r="152" spans="35:64" x14ac:dyDescent="0.2">
      <c r="AI152" s="13">
        <v>7</v>
      </c>
      <c r="AJ152" s="3" t="str">
        <f t="shared" si="274"/>
        <v>Kentucky</v>
      </c>
      <c r="AM152" s="5">
        <v>0</v>
      </c>
      <c r="AN152" s="5">
        <v>1</v>
      </c>
      <c r="AP152" s="5"/>
      <c r="AQ152" s="5"/>
      <c r="AR152" s="5"/>
      <c r="AT152" s="5"/>
      <c r="AU152" s="5"/>
      <c r="AV152" s="5"/>
      <c r="AX152" s="5"/>
      <c r="AY152" s="5"/>
      <c r="AZ152" s="5"/>
      <c r="BB152" s="3">
        <f t="shared" si="275"/>
        <v>0</v>
      </c>
      <c r="BD152" s="3">
        <f t="shared" si="276"/>
        <v>0</v>
      </c>
      <c r="BF152" s="3" t="str">
        <f t="shared" si="277"/>
        <v/>
      </c>
      <c r="BH152" s="3" t="str">
        <f t="shared" si="278"/>
        <v/>
      </c>
      <c r="BJ152" s="3" t="str">
        <f t="shared" si="279"/>
        <v/>
      </c>
      <c r="BL152" s="3" t="str">
        <f t="shared" si="280"/>
        <v/>
      </c>
    </row>
    <row r="153" spans="35:64" x14ac:dyDescent="0.2">
      <c r="AI153" s="13">
        <v>10</v>
      </c>
      <c r="AJ153" s="3" t="str">
        <f t="shared" si="274"/>
        <v>Santa Clara</v>
      </c>
      <c r="AM153" s="5">
        <v>0</v>
      </c>
      <c r="AN153" s="5">
        <v>1</v>
      </c>
      <c r="AP153" s="5"/>
      <c r="AQ153" s="5"/>
      <c r="AR153" s="5"/>
      <c r="AT153" s="5"/>
      <c r="AU153" s="5"/>
      <c r="AV153" s="5"/>
      <c r="AX153" s="5"/>
      <c r="AY153" s="5"/>
      <c r="AZ153" s="5"/>
      <c r="BB153" s="3">
        <f t="shared" si="275"/>
        <v>0</v>
      </c>
      <c r="BD153" s="3">
        <f t="shared" si="276"/>
        <v>0</v>
      </c>
      <c r="BF153" s="3" t="str">
        <f t="shared" si="277"/>
        <v/>
      </c>
      <c r="BH153" s="3" t="str">
        <f t="shared" si="278"/>
        <v/>
      </c>
      <c r="BJ153" s="3" t="str">
        <f t="shared" si="279"/>
        <v/>
      </c>
      <c r="BL153" s="3" t="str">
        <f t="shared" si="280"/>
        <v/>
      </c>
    </row>
    <row r="154" spans="35:64" x14ac:dyDescent="0.2">
      <c r="AI154" s="13">
        <v>2</v>
      </c>
      <c r="AJ154" s="3" t="str">
        <f t="shared" si="274"/>
        <v>Iowa St.</v>
      </c>
      <c r="AM154" s="5">
        <v>0</v>
      </c>
      <c r="AN154" s="5">
        <v>1</v>
      </c>
      <c r="AP154" s="5"/>
      <c r="AQ154" s="5"/>
      <c r="AR154" s="5"/>
      <c r="AT154" s="5"/>
      <c r="AU154" s="5"/>
      <c r="AV154" s="5"/>
      <c r="AX154" s="5"/>
      <c r="AY154" s="5"/>
      <c r="AZ154" s="5"/>
      <c r="BB154" s="3">
        <f t="shared" si="275"/>
        <v>0</v>
      </c>
      <c r="BD154" s="3">
        <f t="shared" si="276"/>
        <v>0</v>
      </c>
      <c r="BF154" s="3" t="str">
        <f t="shared" si="277"/>
        <v/>
      </c>
      <c r="BH154" s="3" t="str">
        <f t="shared" si="278"/>
        <v/>
      </c>
      <c r="BJ154" s="3" t="str">
        <f t="shared" si="279"/>
        <v/>
      </c>
      <c r="BL154" s="3" t="str">
        <f t="shared" si="280"/>
        <v/>
      </c>
    </row>
    <row r="155" spans="35:64" x14ac:dyDescent="0.2">
      <c r="AI155" s="13">
        <v>15</v>
      </c>
      <c r="AJ155" s="3" t="str">
        <f t="shared" si="274"/>
        <v>Tennessee St.</v>
      </c>
      <c r="AM155" s="5">
        <v>0</v>
      </c>
      <c r="AN155" s="5">
        <v>1</v>
      </c>
      <c r="AP155" s="5"/>
      <c r="AQ155" s="5"/>
      <c r="AR155" s="5"/>
      <c r="AT155" s="5"/>
      <c r="AU155" s="5"/>
      <c r="AV155" s="5"/>
      <c r="AX155" s="5"/>
      <c r="AY155" s="5"/>
      <c r="AZ155" s="5"/>
      <c r="BB155" s="3">
        <f t="shared" si="275"/>
        <v>0</v>
      </c>
      <c r="BD155" s="3">
        <f t="shared" si="276"/>
        <v>0</v>
      </c>
      <c r="BF155" s="3" t="str">
        <f t="shared" si="277"/>
        <v/>
      </c>
      <c r="BH155" s="3" t="str">
        <f t="shared" si="278"/>
        <v/>
      </c>
      <c r="BJ155" s="3" t="str">
        <f t="shared" si="279"/>
        <v/>
      </c>
      <c r="BL155" s="3" t="str">
        <f t="shared" si="280"/>
        <v/>
      </c>
    </row>
    <row r="156" spans="35:64" x14ac:dyDescent="0.2">
      <c r="AJ156" s="10" t="str">
        <f t="shared" si="274"/>
        <v>Midwest SUB</v>
      </c>
      <c r="AP156" s="9"/>
      <c r="AQ156" s="9"/>
      <c r="AR156" s="9"/>
      <c r="AS156" s="10"/>
      <c r="AT156" s="9"/>
      <c r="AU156" s="9"/>
      <c r="AV156" s="9"/>
      <c r="AW156" s="10"/>
      <c r="AX156" s="9"/>
      <c r="AY156" s="9"/>
      <c r="AZ156" s="9"/>
      <c r="BB156" s="10">
        <f>SUM(BB140:BB155)</f>
        <v>0</v>
      </c>
      <c r="BC156" s="10"/>
      <c r="BD156" s="10">
        <f>SUM(BD140:BD155)</f>
        <v>0</v>
      </c>
      <c r="BE156" s="10"/>
      <c r="BF156" s="10">
        <f>SUM(BF140:BF155)</f>
        <v>0</v>
      </c>
      <c r="BG156" s="10"/>
      <c r="BH156" s="10">
        <f>SUM(BH140:BH155)</f>
        <v>0</v>
      </c>
      <c r="BI156" s="10"/>
      <c r="BJ156" s="10">
        <f>SUM(BJ140:BJ155)</f>
        <v>0</v>
      </c>
      <c r="BK156" s="10"/>
      <c r="BL156" s="10">
        <f>SUM(BL140:BL155)</f>
        <v>0</v>
      </c>
    </row>
    <row r="157" spans="35:64" x14ac:dyDescent="0.2">
      <c r="AT157" s="5"/>
      <c r="AU157" s="5"/>
      <c r="AV157" s="5"/>
      <c r="AX157" s="5"/>
      <c r="AY157" s="5"/>
      <c r="AZ157" s="5"/>
    </row>
    <row r="158" spans="35:64" x14ac:dyDescent="0.2">
      <c r="AJ158" s="10" t="str">
        <f>B75</f>
        <v>Totals</v>
      </c>
      <c r="AM158" s="9">
        <v>0</v>
      </c>
      <c r="AN158" s="9">
        <v>64</v>
      </c>
      <c r="AP158" s="10"/>
      <c r="AQ158" s="10"/>
      <c r="AR158" s="10"/>
      <c r="AS158" s="10"/>
      <c r="AT158" s="9"/>
      <c r="AU158" s="9"/>
      <c r="AV158" s="9"/>
      <c r="AW158" s="10"/>
      <c r="AX158" s="9"/>
      <c r="AY158" s="9"/>
      <c r="AZ158" s="9"/>
      <c r="BB158" s="10">
        <f>SUM(BB102,BB120,BB138,BB156)</f>
        <v>0</v>
      </c>
      <c r="BD158" s="10">
        <f>SUM(BD102,BD120,BD138,BD156)</f>
        <v>0</v>
      </c>
      <c r="BF158" s="10">
        <f>SUM(BF102,BF120,BF138,BF156)</f>
        <v>0</v>
      </c>
      <c r="BH158" s="10">
        <f>SUM(BH102,BH120,BH138,BH156)</f>
        <v>0</v>
      </c>
      <c r="BJ158" s="10">
        <f>SUM(BJ102,BJ120,BJ138,BJ156)</f>
        <v>0</v>
      </c>
      <c r="BL158" s="10">
        <f>SUM(BL102,BL120,BL138,BL156)</f>
        <v>0</v>
      </c>
    </row>
    <row r="159" spans="35:64" x14ac:dyDescent="0.2">
      <c r="AP159" s="5"/>
      <c r="AQ159" s="5"/>
      <c r="AR159" s="5"/>
      <c r="AS159" s="5"/>
      <c r="AT159" s="5"/>
      <c r="AU159" s="5"/>
      <c r="AV159" s="5"/>
      <c r="AW159" s="5"/>
      <c r="AX159" s="5"/>
      <c r="AY159" s="5"/>
      <c r="AZ159" s="5"/>
    </row>
    <row r="160" spans="35:64" x14ac:dyDescent="0.2">
      <c r="AM160" s="9" t="s">
        <v>19</v>
      </c>
      <c r="AN160" s="9" t="s">
        <v>20</v>
      </c>
      <c r="AP160" s="9"/>
      <c r="AQ160" s="9"/>
      <c r="AR160" s="9"/>
      <c r="AS160" s="9"/>
      <c r="AT160" s="9"/>
      <c r="AU160" s="9"/>
      <c r="AV160" s="9"/>
      <c r="AW160" s="9"/>
      <c r="AX160" s="9"/>
      <c r="AY160" s="9"/>
      <c r="AZ160" s="9"/>
    </row>
    <row r="161" spans="42:52" x14ac:dyDescent="0.2">
      <c r="AP161" s="5"/>
      <c r="AQ161" s="9"/>
      <c r="AR161" s="5"/>
      <c r="AS161" s="5"/>
      <c r="AT161" s="5"/>
      <c r="AU161" s="9"/>
      <c r="AV161" s="5"/>
      <c r="AW161" s="5"/>
      <c r="AX161" s="5"/>
      <c r="AY161" s="9"/>
      <c r="AZ161" s="5"/>
    </row>
  </sheetData>
  <mergeCells count="287">
    <mergeCell ref="V83:W83"/>
    <mergeCell ref="C81:E81"/>
    <mergeCell ref="V87:W87"/>
    <mergeCell ref="C96:E96"/>
    <mergeCell ref="P83:R83"/>
    <mergeCell ref="M87:O87"/>
    <mergeCell ref="C92:E92"/>
    <mergeCell ref="AD106:AF106"/>
    <mergeCell ref="AD93:AF93"/>
    <mergeCell ref="AD102:AF102"/>
    <mergeCell ref="C87:E87"/>
    <mergeCell ref="C104:E104"/>
    <mergeCell ref="C89:E89"/>
    <mergeCell ref="C88:E88"/>
    <mergeCell ref="K86:L86"/>
    <mergeCell ref="M102:O102"/>
    <mergeCell ref="AA94:AC94"/>
    <mergeCell ref="S100:U100"/>
    <mergeCell ref="C86:E86"/>
    <mergeCell ref="X96:Z96"/>
    <mergeCell ref="P88:R88"/>
    <mergeCell ref="M92:O92"/>
    <mergeCell ref="V89:W89"/>
    <mergeCell ref="F101:G101"/>
    <mergeCell ref="A81:B81"/>
    <mergeCell ref="S102:U102"/>
    <mergeCell ref="X98:Z98"/>
    <mergeCell ref="F82:G82"/>
    <mergeCell ref="K103:L103"/>
    <mergeCell ref="C97:E97"/>
    <mergeCell ref="AD88:AF88"/>
    <mergeCell ref="P105:R105"/>
    <mergeCell ref="S86:U86"/>
    <mergeCell ref="C100:E100"/>
    <mergeCell ref="X82:Z82"/>
    <mergeCell ref="K87:L87"/>
    <mergeCell ref="P99:R99"/>
    <mergeCell ref="C82:E82"/>
    <mergeCell ref="M83:O83"/>
    <mergeCell ref="C83:E83"/>
    <mergeCell ref="AA84:AC84"/>
    <mergeCell ref="K102:L102"/>
    <mergeCell ref="AD87:AF87"/>
    <mergeCell ref="AA85:AC85"/>
    <mergeCell ref="C102:E102"/>
    <mergeCell ref="F90:G90"/>
    <mergeCell ref="M93:O93"/>
    <mergeCell ref="P89:R89"/>
    <mergeCell ref="C110:E110"/>
    <mergeCell ref="AA108:AC108"/>
    <mergeCell ref="F104:G104"/>
    <mergeCell ref="K100:L100"/>
    <mergeCell ref="P97:R97"/>
    <mergeCell ref="F113:G113"/>
    <mergeCell ref="M101:O101"/>
    <mergeCell ref="K85:L85"/>
    <mergeCell ref="K94:L94"/>
    <mergeCell ref="X94:Z94"/>
    <mergeCell ref="M91:O91"/>
    <mergeCell ref="P87:R87"/>
    <mergeCell ref="V98:W98"/>
    <mergeCell ref="F97:G97"/>
    <mergeCell ref="M100:O100"/>
    <mergeCell ref="C111:E111"/>
    <mergeCell ref="S109:U109"/>
    <mergeCell ref="C108:E108"/>
    <mergeCell ref="K109:L109"/>
    <mergeCell ref="M85:O85"/>
    <mergeCell ref="V93:W93"/>
    <mergeCell ref="X88:Z88"/>
    <mergeCell ref="S92:U92"/>
    <mergeCell ref="V107:W107"/>
    <mergeCell ref="AD109:AF109"/>
    <mergeCell ref="S98:U98"/>
    <mergeCell ref="AA107:AC107"/>
    <mergeCell ref="V92:W92"/>
    <mergeCell ref="C93:E93"/>
    <mergeCell ref="M90:O90"/>
    <mergeCell ref="AD84:AF84"/>
    <mergeCell ref="K108:L108"/>
    <mergeCell ref="X83:Z83"/>
    <mergeCell ref="P86:R86"/>
    <mergeCell ref="C90:E90"/>
    <mergeCell ref="C105:E105"/>
    <mergeCell ref="V97:W97"/>
    <mergeCell ref="X92:Z92"/>
    <mergeCell ref="M105:O105"/>
    <mergeCell ref="V106:W106"/>
    <mergeCell ref="AD108:AF108"/>
    <mergeCell ref="S97:U97"/>
    <mergeCell ref="AD86:AF86"/>
    <mergeCell ref="AD95:AF95"/>
    <mergeCell ref="V96:W96"/>
    <mergeCell ref="AA99:AC99"/>
    <mergeCell ref="F95:G95"/>
    <mergeCell ref="K91:L91"/>
    <mergeCell ref="P106:R106"/>
    <mergeCell ref="AA95:AC95"/>
    <mergeCell ref="F91:G91"/>
    <mergeCell ref="S85:U85"/>
    <mergeCell ref="AA109:AC109"/>
    <mergeCell ref="F100:G100"/>
    <mergeCell ref="P93:R93"/>
    <mergeCell ref="X90:Z90"/>
    <mergeCell ref="S94:U94"/>
    <mergeCell ref="M103:O103"/>
    <mergeCell ref="AA92:AC92"/>
    <mergeCell ref="X105:Z105"/>
    <mergeCell ref="AA97:AC97"/>
    <mergeCell ref="M96:O96"/>
    <mergeCell ref="F109:G109"/>
    <mergeCell ref="P108:R108"/>
    <mergeCell ref="S88:U88"/>
    <mergeCell ref="P92:R92"/>
    <mergeCell ref="K98:L98"/>
    <mergeCell ref="V103:W103"/>
    <mergeCell ref="AA106:AC106"/>
    <mergeCell ref="S106:U106"/>
    <mergeCell ref="F106:G106"/>
    <mergeCell ref="F108:G108"/>
    <mergeCell ref="F111:G111"/>
    <mergeCell ref="K107:L107"/>
    <mergeCell ref="AD83:AF83"/>
    <mergeCell ref="AA96:AC96"/>
    <mergeCell ref="AD92:AF92"/>
    <mergeCell ref="AA90:AC90"/>
    <mergeCell ref="AA105:AC105"/>
    <mergeCell ref="P100:R100"/>
    <mergeCell ref="S90:U90"/>
    <mergeCell ref="P94:R94"/>
    <mergeCell ref="P109:R109"/>
    <mergeCell ref="M107:O107"/>
    <mergeCell ref="P84:R84"/>
    <mergeCell ref="AD94:AF94"/>
    <mergeCell ref="V95:W95"/>
    <mergeCell ref="K93:L93"/>
    <mergeCell ref="X103:Z103"/>
    <mergeCell ref="K83:L83"/>
    <mergeCell ref="F87:G87"/>
    <mergeCell ref="P95:R95"/>
    <mergeCell ref="S107:U107"/>
    <mergeCell ref="M99:O99"/>
    <mergeCell ref="F110:G110"/>
    <mergeCell ref="F88:G88"/>
    <mergeCell ref="C84:E84"/>
    <mergeCell ref="V82:W82"/>
    <mergeCell ref="P107:R107"/>
    <mergeCell ref="M108:O108"/>
    <mergeCell ref="V94:W94"/>
    <mergeCell ref="F89:G89"/>
    <mergeCell ref="X108:Z108"/>
    <mergeCell ref="AD104:AF104"/>
    <mergeCell ref="V105:W105"/>
    <mergeCell ref="P98:R98"/>
    <mergeCell ref="S99:U99"/>
    <mergeCell ref="S108:U108"/>
    <mergeCell ref="AD100:AF100"/>
    <mergeCell ref="X106:Z106"/>
    <mergeCell ref="AA104:AC104"/>
    <mergeCell ref="S95:U95"/>
    <mergeCell ref="K96:L96"/>
    <mergeCell ref="S104:U104"/>
    <mergeCell ref="K105:L105"/>
    <mergeCell ref="X89:Z89"/>
    <mergeCell ref="F93:G93"/>
    <mergeCell ref="F102:G102"/>
    <mergeCell ref="K97:L97"/>
    <mergeCell ref="V104:W104"/>
    <mergeCell ref="F81:G81"/>
    <mergeCell ref="X99:Z99"/>
    <mergeCell ref="AA91:AC91"/>
    <mergeCell ref="S91:U91"/>
    <mergeCell ref="X86:Z86"/>
    <mergeCell ref="F96:G96"/>
    <mergeCell ref="C98:E98"/>
    <mergeCell ref="X107:Z107"/>
    <mergeCell ref="F92:G92"/>
    <mergeCell ref="C107:E107"/>
    <mergeCell ref="P85:R85"/>
    <mergeCell ref="F83:G83"/>
    <mergeCell ref="M86:O86"/>
    <mergeCell ref="P82:R82"/>
    <mergeCell ref="X104:Z104"/>
    <mergeCell ref="M95:O95"/>
    <mergeCell ref="P103:R103"/>
    <mergeCell ref="X102:Z102"/>
    <mergeCell ref="C101:E101"/>
    <mergeCell ref="X95:Z95"/>
    <mergeCell ref="C85:E85"/>
    <mergeCell ref="F103:G103"/>
    <mergeCell ref="C95:E95"/>
    <mergeCell ref="M104:O104"/>
    <mergeCell ref="P101:R101"/>
    <mergeCell ref="AA88:AC88"/>
    <mergeCell ref="F84:G84"/>
    <mergeCell ref="P91:R91"/>
    <mergeCell ref="S87:U87"/>
    <mergeCell ref="K88:L88"/>
    <mergeCell ref="V102:W102"/>
    <mergeCell ref="F86:G86"/>
    <mergeCell ref="S89:U89"/>
    <mergeCell ref="K90:L90"/>
    <mergeCell ref="AA101:AC101"/>
    <mergeCell ref="V91:W91"/>
    <mergeCell ref="S84:U84"/>
    <mergeCell ref="M89:O89"/>
    <mergeCell ref="X93:Z93"/>
    <mergeCell ref="V99:W99"/>
    <mergeCell ref="AA89:AC89"/>
    <mergeCell ref="F85:G85"/>
    <mergeCell ref="F94:G94"/>
    <mergeCell ref="M97:O97"/>
    <mergeCell ref="M98:O98"/>
    <mergeCell ref="S96:U96"/>
    <mergeCell ref="F99:G99"/>
    <mergeCell ref="C109:E109"/>
    <mergeCell ref="P102:R102"/>
    <mergeCell ref="K99:L99"/>
    <mergeCell ref="M106:O106"/>
    <mergeCell ref="V84:W84"/>
    <mergeCell ref="C91:E91"/>
    <mergeCell ref="X100:Z100"/>
    <mergeCell ref="X109:Z109"/>
    <mergeCell ref="X84:Z84"/>
    <mergeCell ref="V108:W108"/>
    <mergeCell ref="S105:U105"/>
    <mergeCell ref="F105:G105"/>
    <mergeCell ref="P104:R104"/>
    <mergeCell ref="F107:G107"/>
    <mergeCell ref="V109:W109"/>
    <mergeCell ref="C103:E103"/>
    <mergeCell ref="X87:Z87"/>
    <mergeCell ref="K92:L92"/>
    <mergeCell ref="C99:E99"/>
    <mergeCell ref="C94:E94"/>
    <mergeCell ref="M109:O109"/>
    <mergeCell ref="V101:W101"/>
    <mergeCell ref="M94:O94"/>
    <mergeCell ref="P90:R90"/>
    <mergeCell ref="V88:W88"/>
    <mergeCell ref="S103:U103"/>
    <mergeCell ref="C106:E106"/>
    <mergeCell ref="S101:U101"/>
    <mergeCell ref="AD90:AF90"/>
    <mergeCell ref="V86:W86"/>
    <mergeCell ref="AD99:AF99"/>
    <mergeCell ref="V100:W100"/>
    <mergeCell ref="AA98:AC98"/>
    <mergeCell ref="K95:L95"/>
    <mergeCell ref="K89:L89"/>
    <mergeCell ref="K104:L104"/>
    <mergeCell ref="AD101:AF101"/>
    <mergeCell ref="AD89:AF89"/>
    <mergeCell ref="X101:Z101"/>
    <mergeCell ref="AA93:AC93"/>
    <mergeCell ref="K101:L101"/>
    <mergeCell ref="V90:W90"/>
    <mergeCell ref="S93:U93"/>
    <mergeCell ref="AA102:AC102"/>
    <mergeCell ref="F98:G98"/>
    <mergeCell ref="X97:Z97"/>
    <mergeCell ref="AA86:AC86"/>
    <mergeCell ref="P96:R96"/>
    <mergeCell ref="AD81:AF82"/>
    <mergeCell ref="AD105:AF105"/>
    <mergeCell ref="AD91:AF91"/>
    <mergeCell ref="K106:L106"/>
    <mergeCell ref="AD103:AF103"/>
    <mergeCell ref="K84:L84"/>
    <mergeCell ref="AD107:AF107"/>
    <mergeCell ref="AA103:AC103"/>
    <mergeCell ref="V85:W85"/>
    <mergeCell ref="M84:O84"/>
    <mergeCell ref="AD85:AF85"/>
    <mergeCell ref="K81:Z81"/>
    <mergeCell ref="AA81:AC82"/>
    <mergeCell ref="X91:Z91"/>
    <mergeCell ref="AA87:AC87"/>
    <mergeCell ref="M88:O88"/>
    <mergeCell ref="M82:O82"/>
    <mergeCell ref="X85:Z85"/>
    <mergeCell ref="AA83:AC83"/>
    <mergeCell ref="S83:U83"/>
    <mergeCell ref="AD96:AF96"/>
    <mergeCell ref="AA100:AC100"/>
    <mergeCell ref="K82:L82"/>
    <mergeCell ref="S82:U82"/>
  </mergeCells>
  <conditionalFormatting sqref="A82:H83 A84:G100 H84:H111">
    <cfRule type="expression" dxfId="286" priority="468" stopIfTrue="1">
      <formula>$H82=1</formula>
    </cfRule>
  </conditionalFormatting>
  <conditionalFormatting sqref="A3:A18 A21:A36 A39:A54 A57:A72 C3:C18 C21:C36 C39:C54 C57:C72 G3:H18 G21:H36 G39:H54 G57:H72 K3:L18 K21:L36 K39:L54 K57:L72 O3:P18 O21:P36 O39:P54 O57:P72 S3:T18 S21:T36 S39:T54 S57:T72 W3:X18 W21:X36 W39:X54 W57:X72 AA3:AB18 AA21:AB36 AA39:AB54 AA57:AB72 AE3:AF18 AE21:AF36 AE39:AF54 AE57:AF72 AI3:AJ18 AI21:AJ36 AI39:AJ54 AI57:AJ72 AM3:AN18 AM21:AN36 AM39:AN54 AM57:AN72 AQ3:AR18 AQ21:AR36 AQ39:AR54 AQ57:AR72 AU3:AV18 AU21:AV36 AU39:AV54 AU57:AV72 AY3:AZ18 AY21:AZ36 AY39:AZ54 AY57:AZ72 BC3:BD18 BC21:BD36 BC39:BD54 BC57:BD72 BG3:BH18 BG21:BH36 BG39:BH54 BG57:BH72 BK3:BL18 BK21:BL36 BK39:BL54 BK57:BL72 BO3:BP18 BO21:BP36 BO39:BP54 BO57:BP72 DW3:DX18 DW21:DX36 DW39:DX54 DW57:DX72">
    <cfRule type="expression" dxfId="285" priority="343" stopIfTrue="1">
      <formula>$D3=0</formula>
    </cfRule>
  </conditionalFormatting>
  <conditionalFormatting sqref="F3:F18 F21:F36 F39:F54 F57:F72 J3:J18 J21:J36 J39:J54 J57:J72 N3:N18 N21:N36 N39:N54 N57:N72 R3:R18 R21:R36 R39:R54 R57:R72 V3:V18 V21:V36 V39:V54 V57:V72 Z21:Z36 Z39:Z54 Z57:Z72 AD21:AD36 AD39:AD54 AD57:AD72 AH21:AH36 AH39:AH54 AH57:AH72 AL3:AL18 AL21:AL36 AL39:AL54 AL57:AL72 AP39:AP54 AP57:AP72 AT3:AT18 AT21:AT36 AT39:AT54 AT57:AT72 AX39:AX54 AX57:AX72 BB3:BB18 BB21:BB36 BB39:BB54 BB57:BB72 BF21:BF36 BF39:BF54 BF57:BF72 BJ3:BJ18 BJ21:BJ36 BJ39:BJ54 BJ57:BJ72 BN3:BN18 BN21:BN36 BN39:BN54 BN57:BN72 BR21:BR36 BR39:BR54 BR57:BR72 BV39:BV54 BV57:BV72 CX57:CX72">
    <cfRule type="expression" dxfId="284" priority="485" stopIfTrue="1">
      <formula>$D3=0</formula>
    </cfRule>
    <cfRule type="cellIs" dxfId="283" priority="486" stopIfTrue="1" operator="equal">
      <formula>$DZ3</formula>
    </cfRule>
    <cfRule type="cellIs" dxfId="282" priority="487" stopIfTrue="1" operator="equal">
      <formula>$EA3</formula>
    </cfRule>
  </conditionalFormatting>
  <conditionalFormatting sqref="AI86:BL86">
    <cfRule type="expression" dxfId="281" priority="420" stopIfTrue="1">
      <formula>$AN86=0</formula>
    </cfRule>
  </conditionalFormatting>
  <conditionalFormatting sqref="AI87:BL101">
    <cfRule type="expression" dxfId="280" priority="419" stopIfTrue="1">
      <formula>$AN87=0</formula>
    </cfRule>
  </conditionalFormatting>
  <conditionalFormatting sqref="AI104:BL119">
    <cfRule type="expression" dxfId="279" priority="418" stopIfTrue="1">
      <formula>$AN104=0</formula>
    </cfRule>
  </conditionalFormatting>
  <conditionalFormatting sqref="AI122:BL137">
    <cfRule type="expression" dxfId="278" priority="417" stopIfTrue="1">
      <formula>$AN122=0</formula>
    </cfRule>
  </conditionalFormatting>
  <conditionalFormatting sqref="AI140:BL155">
    <cfRule type="expression" dxfId="277" priority="416" stopIfTrue="1">
      <formula>$AN140=0</formula>
    </cfRule>
  </conditionalFormatting>
  <conditionalFormatting sqref="AD3:AD18">
    <cfRule type="expression" dxfId="276" priority="405" stopIfTrue="1">
      <formula>$D3=0</formula>
    </cfRule>
    <cfRule type="cellIs" dxfId="275" priority="406" stopIfTrue="1" operator="equal">
      <formula>$DZ3</formula>
    </cfRule>
    <cfRule type="cellIs" dxfId="274" priority="407" stopIfTrue="1" operator="equal">
      <formula>$EA3</formula>
    </cfRule>
  </conditionalFormatting>
  <conditionalFormatting sqref="Z3:Z18">
    <cfRule type="expression" dxfId="273" priority="402" stopIfTrue="1">
      <formula>$D3=0</formula>
    </cfRule>
    <cfRule type="cellIs" dxfId="272" priority="403" stopIfTrue="1" operator="equal">
      <formula>$DZ3</formula>
    </cfRule>
    <cfRule type="cellIs" dxfId="271" priority="404" stopIfTrue="1" operator="equal">
      <formula>$EA3</formula>
    </cfRule>
  </conditionalFormatting>
  <conditionalFormatting sqref="BS3:BT18 BS21:BT36 BS39:BT54 BS57:BT72">
    <cfRule type="expression" dxfId="270" priority="397" stopIfTrue="1">
      <formula>$D3=0</formula>
    </cfRule>
  </conditionalFormatting>
  <conditionalFormatting sqref="BR3:BR18">
    <cfRule type="expression" dxfId="269" priority="398" stopIfTrue="1">
      <formula>$D3=0</formula>
    </cfRule>
    <cfRule type="cellIs" dxfId="268" priority="399" stopIfTrue="1" operator="equal">
      <formula>$DZ3</formula>
    </cfRule>
    <cfRule type="cellIs" dxfId="267" priority="400" stopIfTrue="1" operator="equal">
      <formula>$EA3</formula>
    </cfRule>
  </conditionalFormatting>
  <conditionalFormatting sqref="BF3:BF18">
    <cfRule type="expression" dxfId="266" priority="390" stopIfTrue="1">
      <formula>$D3=0</formula>
    </cfRule>
    <cfRule type="cellIs" dxfId="265" priority="391" stopIfTrue="1" operator="equal">
      <formula>$DZ3</formula>
    </cfRule>
    <cfRule type="cellIs" dxfId="264" priority="392" stopIfTrue="1" operator="equal">
      <formula>$EA3</formula>
    </cfRule>
  </conditionalFormatting>
  <conditionalFormatting sqref="AH3:AH18">
    <cfRule type="expression" dxfId="263" priority="387" stopIfTrue="1">
      <formula>$D3=0</formula>
    </cfRule>
    <cfRule type="cellIs" dxfId="262" priority="388" stopIfTrue="1" operator="equal">
      <formula>$DZ3</formula>
    </cfRule>
    <cfRule type="cellIs" dxfId="261" priority="389" stopIfTrue="1" operator="equal">
      <formula>$EA3</formula>
    </cfRule>
  </conditionalFormatting>
  <conditionalFormatting sqref="BV21:BV36">
    <cfRule type="expression" dxfId="260" priority="379" stopIfTrue="1">
      <formula>$D21=0</formula>
    </cfRule>
    <cfRule type="cellIs" dxfId="259" priority="380" stopIfTrue="1" operator="equal">
      <formula>$DZ21</formula>
    </cfRule>
    <cfRule type="cellIs" dxfId="258" priority="381" stopIfTrue="1" operator="equal">
      <formula>$EA21</formula>
    </cfRule>
  </conditionalFormatting>
  <conditionalFormatting sqref="BW3:BX18 BW21:BX36 BW39:BX54 BW57:BX72">
    <cfRule type="expression" dxfId="257" priority="375" stopIfTrue="1">
      <formula>$D3=0</formula>
    </cfRule>
  </conditionalFormatting>
  <conditionalFormatting sqref="BV3:BV18">
    <cfRule type="expression" dxfId="256" priority="376" stopIfTrue="1">
      <formula>$D3=0</formula>
    </cfRule>
    <cfRule type="cellIs" dxfId="255" priority="377" stopIfTrue="1" operator="equal">
      <formula>$DZ3</formula>
    </cfRule>
    <cfRule type="cellIs" dxfId="254" priority="378" stopIfTrue="1" operator="equal">
      <formula>$EA3</formula>
    </cfRule>
  </conditionalFormatting>
  <conditionalFormatting sqref="CX39:CX54">
    <cfRule type="expression" dxfId="253" priority="367" stopIfTrue="1">
      <formula>$D39=0</formula>
    </cfRule>
    <cfRule type="cellIs" dxfId="252" priority="368" stopIfTrue="1" operator="equal">
      <formula>$DZ39</formula>
    </cfRule>
    <cfRule type="cellIs" dxfId="251" priority="369" stopIfTrue="1" operator="equal">
      <formula>$EA39</formula>
    </cfRule>
  </conditionalFormatting>
  <conditionalFormatting sqref="CX21:CX36">
    <cfRule type="expression" dxfId="250" priority="364" stopIfTrue="1">
      <formula>$D21=0</formula>
    </cfRule>
    <cfRule type="cellIs" dxfId="249" priority="365" stopIfTrue="1" operator="equal">
      <formula>$DZ21</formula>
    </cfRule>
    <cfRule type="cellIs" dxfId="248" priority="366" stopIfTrue="1" operator="equal">
      <formula>$EA21</formula>
    </cfRule>
  </conditionalFormatting>
  <conditionalFormatting sqref="CY3:CZ18 CY21:CZ36 CY39:CZ54 CY57:CZ72">
    <cfRule type="expression" dxfId="247" priority="360" stopIfTrue="1">
      <formula>$D3=0</formula>
    </cfRule>
  </conditionalFormatting>
  <conditionalFormatting sqref="CX3:CX18">
    <cfRule type="expression" dxfId="246" priority="361" stopIfTrue="1">
      <formula>$D3=0</formula>
    </cfRule>
    <cfRule type="cellIs" dxfId="245" priority="362" stopIfTrue="1" operator="equal">
      <formula>$DZ3</formula>
    </cfRule>
    <cfRule type="cellIs" dxfId="244" priority="363" stopIfTrue="1" operator="equal">
      <formula>$EA3</formula>
    </cfRule>
  </conditionalFormatting>
  <conditionalFormatting sqref="AP3:AP18">
    <cfRule type="expression" dxfId="243" priority="316" stopIfTrue="1">
      <formula>$D3=0</formula>
    </cfRule>
    <cfRule type="cellIs" dxfId="242" priority="317" stopIfTrue="1" operator="equal">
      <formula>$DZ3</formula>
    </cfRule>
    <cfRule type="cellIs" dxfId="241" priority="318" stopIfTrue="1" operator="equal">
      <formula>$EA3</formula>
    </cfRule>
  </conditionalFormatting>
  <conditionalFormatting sqref="AP21:AP36">
    <cfRule type="expression" dxfId="240" priority="313" stopIfTrue="1">
      <formula>$D21=0</formula>
    </cfRule>
    <cfRule type="cellIs" dxfId="239" priority="314" stopIfTrue="1" operator="equal">
      <formula>$DZ21</formula>
    </cfRule>
    <cfRule type="cellIs" dxfId="238" priority="315" stopIfTrue="1" operator="equal">
      <formula>$EA21</formula>
    </cfRule>
  </conditionalFormatting>
  <conditionalFormatting sqref="AX3:AX18">
    <cfRule type="expression" dxfId="237" priority="266" stopIfTrue="1">
      <formula>$D3=0</formula>
    </cfRule>
    <cfRule type="cellIs" dxfId="236" priority="267" stopIfTrue="1" operator="equal">
      <formula>$DZ3</formula>
    </cfRule>
    <cfRule type="cellIs" dxfId="235" priority="268" stopIfTrue="1" operator="equal">
      <formula>$EA3</formula>
    </cfRule>
  </conditionalFormatting>
  <conditionalFormatting sqref="AX21:AX36">
    <cfRule type="expression" dxfId="234" priority="263" stopIfTrue="1">
      <formula>$D21=0</formula>
    </cfRule>
    <cfRule type="cellIs" dxfId="233" priority="264" stopIfTrue="1" operator="equal">
      <formula>$DZ21</formula>
    </cfRule>
    <cfRule type="cellIs" dxfId="232" priority="265" stopIfTrue="1" operator="equal">
      <formula>$EA21</formula>
    </cfRule>
  </conditionalFormatting>
  <conditionalFormatting sqref="A3:A18 C3:C18">
    <cfRule type="expression" dxfId="231" priority="354" stopIfTrue="1">
      <formula>AND($C3=1,$C$75&gt;0,$C$75&lt;32)</formula>
    </cfRule>
    <cfRule type="expression" dxfId="230" priority="383" stopIfTrue="1">
      <formula>AND($C3=2,$C$75&gt;32,$C$75&lt;48)</formula>
    </cfRule>
    <cfRule type="expression" dxfId="229" priority="484" stopIfTrue="1">
      <formula>AND($C3=3,$C$75&gt;48,$C$75&lt;56)</formula>
    </cfRule>
  </conditionalFormatting>
  <conditionalFormatting sqref="A21:A36">
    <cfRule type="expression" dxfId="228" priority="350" stopIfTrue="1">
      <formula>AND($C21=1,$C$75&gt;0,$C$75&lt;32)</formula>
    </cfRule>
    <cfRule type="expression" dxfId="227" priority="353" stopIfTrue="1">
      <formula>AND($C21=2,$C$75&gt;32,$C$75&lt;48)</formula>
    </cfRule>
    <cfRule type="expression" dxfId="226" priority="386" stopIfTrue="1">
      <formula>AND($C21=3,$C$75&gt;48,$C$75&lt;56)</formula>
    </cfRule>
  </conditionalFormatting>
  <conditionalFormatting sqref="A39:A54">
    <cfRule type="expression" dxfId="225" priority="347" stopIfTrue="1">
      <formula>AND($C39=1,$C$75&gt;0,$C$75&lt;32)</formula>
    </cfRule>
    <cfRule type="expression" dxfId="224" priority="352" stopIfTrue="1">
      <formula>AND($C39=2,$C$75&gt;32,$C$75&lt;48)</formula>
    </cfRule>
    <cfRule type="expression" dxfId="223" priority="385" stopIfTrue="1">
      <formula>AND($C39=3,$C$75&gt;48,$C$75&lt;56)</formula>
    </cfRule>
  </conditionalFormatting>
  <conditionalFormatting sqref="A57:A72">
    <cfRule type="expression" dxfId="222" priority="345" stopIfTrue="1">
      <formula>AND($C57=1,$C$75&gt;0,$C$75&lt;32)</formula>
    </cfRule>
    <cfRule type="expression" dxfId="221" priority="351" stopIfTrue="1">
      <formula>AND($C57=2,$C$75&gt;32,$C$75&lt;48)</formula>
    </cfRule>
    <cfRule type="expression" dxfId="220" priority="384" stopIfTrue="1">
      <formula>AND($C57=3,$C$75&gt;48,$C$75&lt;56)</formula>
    </cfRule>
  </conditionalFormatting>
  <conditionalFormatting sqref="CT57:CT72">
    <cfRule type="expression" dxfId="219" priority="235" stopIfTrue="1">
      <formula>$D57=0</formula>
    </cfRule>
    <cfRule type="cellIs" dxfId="218" priority="236" stopIfTrue="1" operator="equal">
      <formula>$DZ57</formula>
    </cfRule>
    <cfRule type="cellIs" dxfId="217" priority="237" stopIfTrue="1" operator="equal">
      <formula>$EA57</formula>
    </cfRule>
  </conditionalFormatting>
  <conditionalFormatting sqref="CT39:CT54">
    <cfRule type="expression" dxfId="216" priority="232" stopIfTrue="1">
      <formula>$D39=0</formula>
    </cfRule>
    <cfRule type="cellIs" dxfId="215" priority="233" stopIfTrue="1" operator="equal">
      <formula>$DZ39</formula>
    </cfRule>
    <cfRule type="cellIs" dxfId="214" priority="234" stopIfTrue="1" operator="equal">
      <formula>$EA39</formula>
    </cfRule>
  </conditionalFormatting>
  <conditionalFormatting sqref="CT21:CT36">
    <cfRule type="expression" dxfId="213" priority="229" stopIfTrue="1">
      <formula>$D21=0</formula>
    </cfRule>
    <cfRule type="cellIs" dxfId="212" priority="230" stopIfTrue="1" operator="equal">
      <formula>$DZ21</formula>
    </cfRule>
    <cfRule type="cellIs" dxfId="211" priority="231" stopIfTrue="1" operator="equal">
      <formula>$EA21</formula>
    </cfRule>
  </conditionalFormatting>
  <conditionalFormatting sqref="CU3:CV18 CU21:CV36 CU39:CV54 CU57:CV72">
    <cfRule type="expression" dxfId="210" priority="225" stopIfTrue="1">
      <formula>$D3=0</formula>
    </cfRule>
  </conditionalFormatting>
  <conditionalFormatting sqref="CT3:CT18">
    <cfRule type="expression" dxfId="209" priority="226" stopIfTrue="1">
      <formula>$D3=0</formula>
    </cfRule>
    <cfRule type="cellIs" dxfId="208" priority="227" stopIfTrue="1" operator="equal">
      <formula>$DZ3</formula>
    </cfRule>
    <cfRule type="cellIs" dxfId="207" priority="228" stopIfTrue="1" operator="equal">
      <formula>$EA3</formula>
    </cfRule>
  </conditionalFormatting>
  <conditionalFormatting sqref="BZ57:BZ72">
    <cfRule type="expression" dxfId="206" priority="222" stopIfTrue="1">
      <formula>$D57=0</formula>
    </cfRule>
    <cfRule type="cellIs" dxfId="205" priority="223" stopIfTrue="1" operator="equal">
      <formula>$DZ57</formula>
    </cfRule>
    <cfRule type="cellIs" dxfId="204" priority="224" stopIfTrue="1" operator="equal">
      <formula>$EA57</formula>
    </cfRule>
  </conditionalFormatting>
  <conditionalFormatting sqref="BZ39:BZ54">
    <cfRule type="expression" dxfId="203" priority="219" stopIfTrue="1">
      <formula>$D39=0</formula>
    </cfRule>
    <cfRule type="cellIs" dxfId="202" priority="220" stopIfTrue="1" operator="equal">
      <formula>$DZ39</formula>
    </cfRule>
    <cfRule type="cellIs" dxfId="201" priority="221" stopIfTrue="1" operator="equal">
      <formula>$EA39</formula>
    </cfRule>
  </conditionalFormatting>
  <conditionalFormatting sqref="BZ21:BZ36">
    <cfRule type="expression" dxfId="200" priority="216" stopIfTrue="1">
      <formula>$D21=0</formula>
    </cfRule>
    <cfRule type="cellIs" dxfId="199" priority="217" stopIfTrue="1" operator="equal">
      <formula>$DZ21</formula>
    </cfRule>
    <cfRule type="cellIs" dxfId="198" priority="218" stopIfTrue="1" operator="equal">
      <formula>$EA21</formula>
    </cfRule>
  </conditionalFormatting>
  <conditionalFormatting sqref="CA3:CB18 CA21:CB36 CA39:CB54 CA57:CB72">
    <cfRule type="expression" dxfId="197" priority="212" stopIfTrue="1">
      <formula>$D3=0</formula>
    </cfRule>
  </conditionalFormatting>
  <conditionalFormatting sqref="BZ3:BZ18">
    <cfRule type="expression" dxfId="196" priority="213" stopIfTrue="1">
      <formula>$D3=0</formula>
    </cfRule>
    <cfRule type="cellIs" dxfId="195" priority="214" stopIfTrue="1" operator="equal">
      <formula>$DZ3</formula>
    </cfRule>
    <cfRule type="cellIs" dxfId="194" priority="215" stopIfTrue="1" operator="equal">
      <formula>$EA3</formula>
    </cfRule>
  </conditionalFormatting>
  <conditionalFormatting sqref="CP57:CP72">
    <cfRule type="expression" dxfId="193" priority="209" stopIfTrue="1">
      <formula>$D57=0</formula>
    </cfRule>
    <cfRule type="cellIs" dxfId="192" priority="210" stopIfTrue="1" operator="equal">
      <formula>$DZ57</formula>
    </cfRule>
    <cfRule type="cellIs" dxfId="191" priority="211" stopIfTrue="1" operator="equal">
      <formula>$EA57</formula>
    </cfRule>
  </conditionalFormatting>
  <conditionalFormatting sqref="CP39:CP54">
    <cfRule type="expression" dxfId="190" priority="206" stopIfTrue="1">
      <formula>$D39=0</formula>
    </cfRule>
    <cfRule type="cellIs" dxfId="189" priority="207" stopIfTrue="1" operator="equal">
      <formula>$DZ39</formula>
    </cfRule>
    <cfRule type="cellIs" dxfId="188" priority="208" stopIfTrue="1" operator="equal">
      <formula>$EA39</formula>
    </cfRule>
  </conditionalFormatting>
  <conditionalFormatting sqref="CP21:CP36">
    <cfRule type="expression" dxfId="187" priority="203" stopIfTrue="1">
      <formula>$D21=0</formula>
    </cfRule>
    <cfRule type="cellIs" dxfId="186" priority="204" stopIfTrue="1" operator="equal">
      <formula>$DZ21</formula>
    </cfRule>
    <cfRule type="cellIs" dxfId="185" priority="205" stopIfTrue="1" operator="equal">
      <formula>$EA21</formula>
    </cfRule>
  </conditionalFormatting>
  <conditionalFormatting sqref="CQ3:CR18 CQ21:CR36 CQ39:CR54 CQ57:CR72">
    <cfRule type="expression" dxfId="184" priority="199" stopIfTrue="1">
      <formula>$D3=0</formula>
    </cfRule>
  </conditionalFormatting>
  <conditionalFormatting sqref="CP3:CP18">
    <cfRule type="expression" dxfId="183" priority="200" stopIfTrue="1">
      <formula>$D3=0</formula>
    </cfRule>
    <cfRule type="cellIs" dxfId="182" priority="201" stopIfTrue="1" operator="equal">
      <formula>$DZ3</formula>
    </cfRule>
    <cfRule type="cellIs" dxfId="181" priority="202" stopIfTrue="1" operator="equal">
      <formula>$EA3</formula>
    </cfRule>
  </conditionalFormatting>
  <conditionalFormatting sqref="CL57:CL72">
    <cfRule type="expression" dxfId="180" priority="196" stopIfTrue="1">
      <formula>$D57=0</formula>
    </cfRule>
    <cfRule type="cellIs" dxfId="179" priority="197" stopIfTrue="1" operator="equal">
      <formula>$DZ57</formula>
    </cfRule>
    <cfRule type="cellIs" dxfId="178" priority="198" stopIfTrue="1" operator="equal">
      <formula>$EA57</formula>
    </cfRule>
  </conditionalFormatting>
  <conditionalFormatting sqref="CL39:CL54">
    <cfRule type="expression" dxfId="177" priority="193" stopIfTrue="1">
      <formula>$D39=0</formula>
    </cfRule>
    <cfRule type="cellIs" dxfId="176" priority="194" stopIfTrue="1" operator="equal">
      <formula>$DZ39</formula>
    </cfRule>
    <cfRule type="cellIs" dxfId="175" priority="195" stopIfTrue="1" operator="equal">
      <formula>$EA39</formula>
    </cfRule>
  </conditionalFormatting>
  <conditionalFormatting sqref="CL21:CL36">
    <cfRule type="expression" dxfId="174" priority="190" stopIfTrue="1">
      <formula>$D21=0</formula>
    </cfRule>
    <cfRule type="cellIs" dxfId="173" priority="191" stopIfTrue="1" operator="equal">
      <formula>$DZ21</formula>
    </cfRule>
    <cfRule type="cellIs" dxfId="172" priority="192" stopIfTrue="1" operator="equal">
      <formula>$EA21</formula>
    </cfRule>
  </conditionalFormatting>
  <conditionalFormatting sqref="CM3:CN18 CM21:CN36 CM39:CN54 CM57:CN72">
    <cfRule type="expression" dxfId="171" priority="186" stopIfTrue="1">
      <formula>$D3=0</formula>
    </cfRule>
  </conditionalFormatting>
  <conditionalFormatting sqref="CL3:CL18">
    <cfRule type="expression" dxfId="170" priority="187" stopIfTrue="1">
      <formula>$D3=0</formula>
    </cfRule>
    <cfRule type="cellIs" dxfId="169" priority="188" stopIfTrue="1" operator="equal">
      <formula>$DZ3</formula>
    </cfRule>
    <cfRule type="cellIs" dxfId="168" priority="189" stopIfTrue="1" operator="equal">
      <formula>$EA3</formula>
    </cfRule>
  </conditionalFormatting>
  <conditionalFormatting sqref="CH57:CH72">
    <cfRule type="expression" dxfId="167" priority="183" stopIfTrue="1">
      <formula>$D57=0</formula>
    </cfRule>
    <cfRule type="cellIs" dxfId="166" priority="184" stopIfTrue="1" operator="equal">
      <formula>$DZ57</formula>
    </cfRule>
    <cfRule type="cellIs" dxfId="165" priority="185" stopIfTrue="1" operator="equal">
      <formula>$EA57</formula>
    </cfRule>
  </conditionalFormatting>
  <conditionalFormatting sqref="CH39:CH54">
    <cfRule type="expression" dxfId="164" priority="180" stopIfTrue="1">
      <formula>$D39=0</formula>
    </cfRule>
    <cfRule type="cellIs" dxfId="163" priority="181" stopIfTrue="1" operator="equal">
      <formula>$DZ39</formula>
    </cfRule>
    <cfRule type="cellIs" dxfId="162" priority="182" stopIfTrue="1" operator="equal">
      <formula>$EA39</formula>
    </cfRule>
  </conditionalFormatting>
  <conditionalFormatting sqref="CH21:CH36">
    <cfRule type="expression" dxfId="161" priority="177" stopIfTrue="1">
      <formula>$D21=0</formula>
    </cfRule>
    <cfRule type="cellIs" dxfId="160" priority="178" stopIfTrue="1" operator="equal">
      <formula>$DZ21</formula>
    </cfRule>
    <cfRule type="cellIs" dxfId="159" priority="179" stopIfTrue="1" operator="equal">
      <formula>$EA21</formula>
    </cfRule>
  </conditionalFormatting>
  <conditionalFormatting sqref="CI3:CJ18 CI21:CJ36 CI39:CJ54 CI57:CJ72">
    <cfRule type="expression" dxfId="158" priority="173" stopIfTrue="1">
      <formula>$D3=0</formula>
    </cfRule>
  </conditionalFormatting>
  <conditionalFormatting sqref="CH3:CH18">
    <cfRule type="expression" dxfId="157" priority="174" stopIfTrue="1">
      <formula>$D3=0</formula>
    </cfRule>
    <cfRule type="cellIs" dxfId="156" priority="175" stopIfTrue="1" operator="equal">
      <formula>$DZ3</formula>
    </cfRule>
    <cfRule type="cellIs" dxfId="155" priority="176" stopIfTrue="1" operator="equal">
      <formula>$EA3</formula>
    </cfRule>
  </conditionalFormatting>
  <conditionalFormatting sqref="CD57:CD72">
    <cfRule type="expression" dxfId="154" priority="170" stopIfTrue="1">
      <formula>$D57=0</formula>
    </cfRule>
    <cfRule type="cellIs" dxfId="153" priority="171" stopIfTrue="1" operator="equal">
      <formula>$DZ57</formula>
    </cfRule>
    <cfRule type="cellIs" dxfId="152" priority="172" stopIfTrue="1" operator="equal">
      <formula>$EA57</formula>
    </cfRule>
  </conditionalFormatting>
  <conditionalFormatting sqref="CD39:CD54">
    <cfRule type="expression" dxfId="151" priority="167" stopIfTrue="1">
      <formula>$D39=0</formula>
    </cfRule>
    <cfRule type="cellIs" dxfId="150" priority="168" stopIfTrue="1" operator="equal">
      <formula>$DZ39</formula>
    </cfRule>
    <cfRule type="cellIs" dxfId="149" priority="169" stopIfTrue="1" operator="equal">
      <formula>$EA39</formula>
    </cfRule>
  </conditionalFormatting>
  <conditionalFormatting sqref="CD21:CD36">
    <cfRule type="expression" dxfId="148" priority="164" stopIfTrue="1">
      <formula>$D21=0</formula>
    </cfRule>
    <cfRule type="cellIs" dxfId="147" priority="165" stopIfTrue="1" operator="equal">
      <formula>$DZ21</formula>
    </cfRule>
    <cfRule type="cellIs" dxfId="146" priority="166" stopIfTrue="1" operator="equal">
      <formula>$EA21</formula>
    </cfRule>
  </conditionalFormatting>
  <conditionalFormatting sqref="CE3:CF18 CE21:CF36 CE39:CF54 CE57:CF72">
    <cfRule type="expression" dxfId="145" priority="160" stopIfTrue="1">
      <formula>$D3=0</formula>
    </cfRule>
  </conditionalFormatting>
  <conditionalFormatting sqref="CD3:CD18">
    <cfRule type="expression" dxfId="144" priority="161" stopIfTrue="1">
      <formula>$D3=0</formula>
    </cfRule>
    <cfRule type="cellIs" dxfId="143" priority="162" stopIfTrue="1" operator="equal">
      <formula>$DZ3</formula>
    </cfRule>
    <cfRule type="cellIs" dxfId="142" priority="163" stopIfTrue="1" operator="equal">
      <formula>$EA3</formula>
    </cfRule>
  </conditionalFormatting>
  <conditionalFormatting sqref="A101:G106 A107:A111">
    <cfRule type="expression" dxfId="141" priority="159" stopIfTrue="1">
      <formula>$H101=1</formula>
    </cfRule>
  </conditionalFormatting>
  <conditionalFormatting sqref="B3:B18">
    <cfRule type="expression" dxfId="140" priority="149" stopIfTrue="1">
      <formula>$D3=0</formula>
    </cfRule>
    <cfRule type="expression" dxfId="139" priority="150" stopIfTrue="1">
      <formula>AND($C3=1,$C$75&gt;0,$C$75&lt;32)</formula>
    </cfRule>
    <cfRule type="expression" dxfId="138" priority="151" stopIfTrue="1">
      <formula>AND($C3=2,$C$75&gt;32,$C$75&lt;48)</formula>
    </cfRule>
    <cfRule type="expression" dxfId="137" priority="152" stopIfTrue="1">
      <formula>AND($C3=3,$C$75&gt;48,$C$75&lt;56)</formula>
    </cfRule>
  </conditionalFormatting>
  <conditionalFormatting sqref="B21:B36">
    <cfRule type="expression" dxfId="136" priority="145" stopIfTrue="1">
      <formula>$D21=0</formula>
    </cfRule>
    <cfRule type="expression" dxfId="135" priority="146" stopIfTrue="1">
      <formula>AND($C21=1,$C$75&gt;0,$C$75&lt;32)</formula>
    </cfRule>
    <cfRule type="expression" dxfId="134" priority="147" stopIfTrue="1">
      <formula>AND($C21=2,$C$75&gt;32,$C$75&lt;48)</formula>
    </cfRule>
    <cfRule type="expression" dxfId="133" priority="148" stopIfTrue="1">
      <formula>AND($C21=3,$C$75&gt;48,$C$75&lt;56)</formula>
    </cfRule>
  </conditionalFormatting>
  <conditionalFormatting sqref="B39:B54">
    <cfRule type="expression" dxfId="132" priority="141" stopIfTrue="1">
      <formula>$D39=0</formula>
    </cfRule>
    <cfRule type="expression" dxfId="131" priority="142" stopIfTrue="1">
      <formula>AND($C39=1,$C$75&gt;0,$C$75&lt;32)</formula>
    </cfRule>
    <cfRule type="expression" dxfId="130" priority="143" stopIfTrue="1">
      <formula>AND($C39=2,$C$75&gt;32,$C$75&lt;48)</formula>
    </cfRule>
    <cfRule type="expression" dxfId="129" priority="144" stopIfTrue="1">
      <formula>AND($C39=3,$C$75&gt;48,$C$75&lt;56)</formula>
    </cfRule>
  </conditionalFormatting>
  <conditionalFormatting sqref="B57:B72">
    <cfRule type="expression" dxfId="128" priority="133" stopIfTrue="1">
      <formula>$D57=0</formula>
    </cfRule>
    <cfRule type="expression" dxfId="127" priority="134" stopIfTrue="1">
      <formula>AND($C57=1,$C$75&gt;0,$C$75&lt;32)</formula>
    </cfRule>
    <cfRule type="expression" dxfId="126" priority="135" stopIfTrue="1">
      <formula>AND($C57=2,$C$75&gt;32,$C$75&lt;48)</formula>
    </cfRule>
    <cfRule type="expression" dxfId="125" priority="136" stopIfTrue="1">
      <formula>AND($C57=3,$C$75&gt;48,$C$75&lt;56)</formula>
    </cfRule>
  </conditionalFormatting>
  <conditionalFormatting sqref="D3:D18">
    <cfRule type="expression" dxfId="124" priority="104" stopIfTrue="1">
      <formula>$D3=0</formula>
    </cfRule>
    <cfRule type="expression" dxfId="123" priority="103" stopIfTrue="1">
      <formula>AND($C3=1,$C$75&gt;0,$C$75&lt;32)</formula>
    </cfRule>
    <cfRule type="expression" dxfId="122" priority="105" stopIfTrue="1">
      <formula>AND($C3=2,$C$75&gt;32,$C$75&lt;48)</formula>
    </cfRule>
    <cfRule type="expression" dxfId="121" priority="106" stopIfTrue="1">
      <formula>AND($C3=3,$C$75&gt;48,$C$75&lt;56)</formula>
    </cfRule>
    <cfRule type="expression" dxfId="120" priority="107" stopIfTrue="1">
      <formula>AND($C3=1,$C$75&gt;0,$C$75&lt;32)</formula>
    </cfRule>
    <cfRule type="expression" dxfId="119" priority="108" stopIfTrue="1">
      <formula>AND($C3=2,$C$75&gt;32,$C$75&lt;48)</formula>
    </cfRule>
    <cfRule type="expression" dxfId="118" priority="109" stopIfTrue="1">
      <formula>AND($C3=3,$C$75&gt;48,$C$75&lt;56)</formula>
    </cfRule>
  </conditionalFormatting>
  <conditionalFormatting sqref="DB57:DB72">
    <cfRule type="expression" dxfId="117" priority="100" stopIfTrue="1">
      <formula>$D57=0</formula>
    </cfRule>
    <cfRule type="cellIs" dxfId="116" priority="101" stopIfTrue="1" operator="equal">
      <formula>$DZ57</formula>
    </cfRule>
    <cfRule type="cellIs" dxfId="115" priority="102" stopIfTrue="1" operator="equal">
      <formula>$EA57</formula>
    </cfRule>
  </conditionalFormatting>
  <conditionalFormatting sqref="DB39:DB54">
    <cfRule type="expression" dxfId="114" priority="97" stopIfTrue="1">
      <formula>$D39=0</formula>
    </cfRule>
    <cfRule type="cellIs" dxfId="113" priority="98" stopIfTrue="1" operator="equal">
      <formula>$DZ39</formula>
    </cfRule>
    <cfRule type="cellIs" dxfId="112" priority="99" stopIfTrue="1" operator="equal">
      <formula>$EA39</formula>
    </cfRule>
  </conditionalFormatting>
  <conditionalFormatting sqref="DB21:DB36">
    <cfRule type="expression" dxfId="111" priority="94" stopIfTrue="1">
      <formula>$D21=0</formula>
    </cfRule>
    <cfRule type="cellIs" dxfId="110" priority="95" stopIfTrue="1" operator="equal">
      <formula>$DZ21</formula>
    </cfRule>
    <cfRule type="cellIs" dxfId="109" priority="96" stopIfTrue="1" operator="equal">
      <formula>$EA21</formula>
    </cfRule>
  </conditionalFormatting>
  <conditionalFormatting sqref="DC3:DD18 DC21:DD36 DC39:DD54 DC57:DD72">
    <cfRule type="expression" dxfId="108" priority="90" stopIfTrue="1">
      <formula>$D3=0</formula>
    </cfRule>
  </conditionalFormatting>
  <conditionalFormatting sqref="DB3:DB18">
    <cfRule type="expression" dxfId="107" priority="91" stopIfTrue="1">
      <formula>$D3=0</formula>
    </cfRule>
    <cfRule type="cellIs" dxfId="106" priority="92" stopIfTrue="1" operator="equal">
      <formula>$DZ3</formula>
    </cfRule>
    <cfRule type="cellIs" dxfId="105" priority="93" stopIfTrue="1" operator="equal">
      <formula>$EA3</formula>
    </cfRule>
  </conditionalFormatting>
  <conditionalFormatting sqref="DF57:DF72">
    <cfRule type="expression" dxfId="104" priority="87" stopIfTrue="1">
      <formula>$D57=0</formula>
    </cfRule>
    <cfRule type="cellIs" dxfId="103" priority="88" stopIfTrue="1" operator="equal">
      <formula>$DZ57</formula>
    </cfRule>
    <cfRule type="cellIs" dxfId="102" priority="89" stopIfTrue="1" operator="equal">
      <formula>$EA57</formula>
    </cfRule>
  </conditionalFormatting>
  <conditionalFormatting sqref="DF39:DF54">
    <cfRule type="expression" dxfId="101" priority="84" stopIfTrue="1">
      <formula>$D39=0</formula>
    </cfRule>
    <cfRule type="cellIs" dxfId="100" priority="85" stopIfTrue="1" operator="equal">
      <formula>$DZ39</formula>
    </cfRule>
    <cfRule type="cellIs" dxfId="99" priority="86" stopIfTrue="1" operator="equal">
      <formula>$EA39</formula>
    </cfRule>
  </conditionalFormatting>
  <conditionalFormatting sqref="DF21:DF36">
    <cfRule type="expression" dxfId="98" priority="81" stopIfTrue="1">
      <formula>$D21=0</formula>
    </cfRule>
    <cfRule type="cellIs" dxfId="97" priority="82" stopIfTrue="1" operator="equal">
      <formula>$DZ21</formula>
    </cfRule>
    <cfRule type="cellIs" dxfId="96" priority="83" stopIfTrue="1" operator="equal">
      <formula>$EA21</formula>
    </cfRule>
  </conditionalFormatting>
  <conditionalFormatting sqref="DG3:DH18 DG21:DH36 DG39:DH54 DG57:DH72">
    <cfRule type="expression" dxfId="95" priority="77" stopIfTrue="1">
      <formula>$D3=0</formula>
    </cfRule>
  </conditionalFormatting>
  <conditionalFormatting sqref="DF3:DF18">
    <cfRule type="expression" dxfId="94" priority="78" stopIfTrue="1">
      <formula>$D3=0</formula>
    </cfRule>
    <cfRule type="cellIs" dxfId="93" priority="79" stopIfTrue="1" operator="equal">
      <formula>$DZ3</formula>
    </cfRule>
    <cfRule type="cellIs" dxfId="92" priority="80" stopIfTrue="1" operator="equal">
      <formula>$EA3</formula>
    </cfRule>
  </conditionalFormatting>
  <conditionalFormatting sqref="DJ57:DJ72">
    <cfRule type="expression" dxfId="91" priority="74" stopIfTrue="1">
      <formula>$D57=0</formula>
    </cfRule>
    <cfRule type="cellIs" dxfId="90" priority="75" stopIfTrue="1" operator="equal">
      <formula>$DZ57</formula>
    </cfRule>
    <cfRule type="cellIs" dxfId="89" priority="76" stopIfTrue="1" operator="equal">
      <formula>$EA57</formula>
    </cfRule>
  </conditionalFormatting>
  <conditionalFormatting sqref="DJ39:DJ54">
    <cfRule type="expression" dxfId="88" priority="71" stopIfTrue="1">
      <formula>$D39=0</formula>
    </cfRule>
    <cfRule type="cellIs" dxfId="87" priority="72" stopIfTrue="1" operator="equal">
      <formula>$DZ39</formula>
    </cfRule>
    <cfRule type="cellIs" dxfId="86" priority="73" stopIfTrue="1" operator="equal">
      <formula>$EA39</formula>
    </cfRule>
  </conditionalFormatting>
  <conditionalFormatting sqref="DJ21:DJ36">
    <cfRule type="expression" dxfId="85" priority="68" stopIfTrue="1">
      <formula>$D21=0</formula>
    </cfRule>
    <cfRule type="cellIs" dxfId="84" priority="69" stopIfTrue="1" operator="equal">
      <formula>$DZ21</formula>
    </cfRule>
    <cfRule type="cellIs" dxfId="83" priority="70" stopIfTrue="1" operator="equal">
      <formula>$EA21</formula>
    </cfRule>
  </conditionalFormatting>
  <conditionalFormatting sqref="DK3:DL18 DK21:DL36 DK39:DL54 DK57:DL72">
    <cfRule type="expression" dxfId="82" priority="64" stopIfTrue="1">
      <formula>$D3=0</formula>
    </cfRule>
  </conditionalFormatting>
  <conditionalFormatting sqref="DJ3:DJ18">
    <cfRule type="expression" dxfId="81" priority="65" stopIfTrue="1">
      <formula>$D3=0</formula>
    </cfRule>
    <cfRule type="cellIs" dxfId="80" priority="66" stopIfTrue="1" operator="equal">
      <formula>$DZ3</formula>
    </cfRule>
    <cfRule type="cellIs" dxfId="79" priority="67" stopIfTrue="1" operator="equal">
      <formula>$EA3</formula>
    </cfRule>
  </conditionalFormatting>
  <conditionalFormatting sqref="DN57:DN72">
    <cfRule type="expression" dxfId="78" priority="61" stopIfTrue="1">
      <formula>$D57=0</formula>
    </cfRule>
    <cfRule type="cellIs" dxfId="77" priority="62" stopIfTrue="1" operator="equal">
      <formula>$DZ57</formula>
    </cfRule>
    <cfRule type="cellIs" dxfId="76" priority="63" stopIfTrue="1" operator="equal">
      <formula>$EA57</formula>
    </cfRule>
  </conditionalFormatting>
  <conditionalFormatting sqref="DN39:DN54">
    <cfRule type="expression" dxfId="75" priority="58" stopIfTrue="1">
      <formula>$D39=0</formula>
    </cfRule>
    <cfRule type="cellIs" dxfId="74" priority="59" stopIfTrue="1" operator="equal">
      <formula>$DZ39</formula>
    </cfRule>
    <cfRule type="cellIs" dxfId="73" priority="60" stopIfTrue="1" operator="equal">
      <formula>$EA39</formula>
    </cfRule>
  </conditionalFormatting>
  <conditionalFormatting sqref="DN21:DN36">
    <cfRule type="expression" dxfId="72" priority="55" stopIfTrue="1">
      <formula>$D21=0</formula>
    </cfRule>
    <cfRule type="cellIs" dxfId="71" priority="56" stopIfTrue="1" operator="equal">
      <formula>$DZ21</formula>
    </cfRule>
    <cfRule type="cellIs" dxfId="70" priority="57" stopIfTrue="1" operator="equal">
      <formula>$EA21</formula>
    </cfRule>
  </conditionalFormatting>
  <conditionalFormatting sqref="DO3:DP18 DO21:DP36 DO39:DP54 DO57:DP72">
    <cfRule type="expression" dxfId="69" priority="51" stopIfTrue="1">
      <formula>$D3=0</formula>
    </cfRule>
  </conditionalFormatting>
  <conditionalFormatting sqref="DN3:DN18">
    <cfRule type="expression" dxfId="68" priority="52" stopIfTrue="1">
      <formula>$D3=0</formula>
    </cfRule>
    <cfRule type="cellIs" dxfId="67" priority="53" stopIfTrue="1" operator="equal">
      <formula>$DZ3</formula>
    </cfRule>
    <cfRule type="cellIs" dxfId="66" priority="54" stopIfTrue="1" operator="equal">
      <formula>$EA3</formula>
    </cfRule>
  </conditionalFormatting>
  <conditionalFormatting sqref="DR57:DR72">
    <cfRule type="expression" dxfId="65" priority="48" stopIfTrue="1">
      <formula>$D57=0</formula>
    </cfRule>
    <cfRule type="cellIs" dxfId="64" priority="49" stopIfTrue="1" operator="equal">
      <formula>$DZ57</formula>
    </cfRule>
    <cfRule type="cellIs" dxfId="63" priority="50" stopIfTrue="1" operator="equal">
      <formula>$EA57</formula>
    </cfRule>
  </conditionalFormatting>
  <conditionalFormatting sqref="DR39:DR54">
    <cfRule type="expression" dxfId="62" priority="45" stopIfTrue="1">
      <formula>$D39=0</formula>
    </cfRule>
    <cfRule type="cellIs" dxfId="61" priority="46" stopIfTrue="1" operator="equal">
      <formula>$DZ39</formula>
    </cfRule>
    <cfRule type="cellIs" dxfId="60" priority="47" stopIfTrue="1" operator="equal">
      <formula>$EA39</formula>
    </cfRule>
  </conditionalFormatting>
  <conditionalFormatting sqref="DR21:DR36">
    <cfRule type="expression" dxfId="59" priority="42" stopIfTrue="1">
      <formula>$D21=0</formula>
    </cfRule>
    <cfRule type="cellIs" dxfId="58" priority="43" stopIfTrue="1" operator="equal">
      <formula>$DZ21</formula>
    </cfRule>
    <cfRule type="cellIs" dxfId="57" priority="44" stopIfTrue="1" operator="equal">
      <formula>$EA21</formula>
    </cfRule>
  </conditionalFormatting>
  <conditionalFormatting sqref="DS3:DT18 DS21:DT36 DS39:DT54 DS57:DT72">
    <cfRule type="expression" dxfId="56" priority="38" stopIfTrue="1">
      <formula>$D3=0</formula>
    </cfRule>
  </conditionalFormatting>
  <conditionalFormatting sqref="DR3:DR18">
    <cfRule type="expression" dxfId="55" priority="39" stopIfTrue="1">
      <formula>$D3=0</formula>
    </cfRule>
    <cfRule type="cellIs" dxfId="54" priority="40" stopIfTrue="1" operator="equal">
      <formula>$DZ3</formula>
    </cfRule>
    <cfRule type="cellIs" dxfId="53" priority="41" stopIfTrue="1" operator="equal">
      <formula>$EA3</formula>
    </cfRule>
  </conditionalFormatting>
  <conditionalFormatting sqref="B107:B111">
    <cfRule type="expression" dxfId="52" priority="37" stopIfTrue="1">
      <formula>$H107=1</formula>
    </cfRule>
  </conditionalFormatting>
  <conditionalFormatting sqref="C107:E107">
    <cfRule type="expression" dxfId="51" priority="36" stopIfTrue="1">
      <formula>$H107=1</formula>
    </cfRule>
  </conditionalFormatting>
  <conditionalFormatting sqref="C108:E108">
    <cfRule type="expression" dxfId="50" priority="35" stopIfTrue="1">
      <formula>$H108=1</formula>
    </cfRule>
  </conditionalFormatting>
  <conditionalFormatting sqref="C109:E109">
    <cfRule type="expression" dxfId="49" priority="34" stopIfTrue="1">
      <formula>$H109=1</formula>
    </cfRule>
  </conditionalFormatting>
  <conditionalFormatting sqref="C110:E110">
    <cfRule type="expression" dxfId="48" priority="33" stopIfTrue="1">
      <formula>$H110=1</formula>
    </cfRule>
  </conditionalFormatting>
  <conditionalFormatting sqref="C111:E111">
    <cfRule type="expression" dxfId="47" priority="32" stopIfTrue="1">
      <formula>$H111=1</formula>
    </cfRule>
  </conditionalFormatting>
  <conditionalFormatting sqref="F107:G111">
    <cfRule type="expression" dxfId="46" priority="31" stopIfTrue="1">
      <formula>$H107=1</formula>
    </cfRule>
  </conditionalFormatting>
  <conditionalFormatting sqref="C21:C36">
    <cfRule type="expression" dxfId="45" priority="28" stopIfTrue="1">
      <formula>AND($C21=1,$C$75&gt;0,$C$75&lt;32)</formula>
    </cfRule>
    <cfRule type="expression" dxfId="44" priority="29" stopIfTrue="1">
      <formula>AND($C21=2,$C$75&gt;32,$C$75&lt;48)</formula>
    </cfRule>
    <cfRule type="expression" dxfId="43" priority="30" stopIfTrue="1">
      <formula>AND($C21=3,$C$75&gt;48,$C$75&lt;56)</formula>
    </cfRule>
  </conditionalFormatting>
  <conditionalFormatting sqref="D21:D36">
    <cfRule type="expression" dxfId="42" priority="21" stopIfTrue="1">
      <formula>AND($C21=1,$C$75&gt;0,$C$75&lt;32)</formula>
    </cfRule>
    <cfRule type="expression" dxfId="41" priority="22" stopIfTrue="1">
      <formula>$D21=0</formula>
    </cfRule>
    <cfRule type="expression" dxfId="40" priority="23" stopIfTrue="1">
      <formula>AND($C21=2,$C$75&gt;32,$C$75&lt;48)</formula>
    </cfRule>
    <cfRule type="expression" dxfId="39" priority="24" stopIfTrue="1">
      <formula>AND($C21=3,$C$75&gt;48,$C$75&lt;56)</formula>
    </cfRule>
    <cfRule type="expression" dxfId="38" priority="25" stopIfTrue="1">
      <formula>AND($C21=1,$C$75&gt;0,$C$75&lt;32)</formula>
    </cfRule>
    <cfRule type="expression" dxfId="37" priority="26" stopIfTrue="1">
      <formula>AND($C21=2,$C$75&gt;32,$C$75&lt;48)</formula>
    </cfRule>
    <cfRule type="expression" dxfId="36" priority="27" stopIfTrue="1">
      <formula>AND($C21=3,$C$75&gt;48,$C$75&lt;56)</formula>
    </cfRule>
  </conditionalFormatting>
  <conditionalFormatting sqref="C39:C54">
    <cfRule type="expression" dxfId="35" priority="18" stopIfTrue="1">
      <formula>AND($C39=1,$C$75&gt;0,$C$75&lt;32)</formula>
    </cfRule>
    <cfRule type="expression" dxfId="34" priority="19" stopIfTrue="1">
      <formula>AND($C39=2,$C$75&gt;32,$C$75&lt;48)</formula>
    </cfRule>
    <cfRule type="expression" dxfId="33" priority="20" stopIfTrue="1">
      <formula>AND($C39=3,$C$75&gt;48,$C$75&lt;56)</formula>
    </cfRule>
  </conditionalFormatting>
  <conditionalFormatting sqref="D39:D54">
    <cfRule type="expression" dxfId="32" priority="11" stopIfTrue="1">
      <formula>AND($C39=1,$C$75&gt;0,$C$75&lt;32)</formula>
    </cfRule>
    <cfRule type="expression" dxfId="31" priority="12" stopIfTrue="1">
      <formula>$D39=0</formula>
    </cfRule>
    <cfRule type="expression" dxfId="30" priority="13" stopIfTrue="1">
      <formula>AND($C39=2,$C$75&gt;32,$C$75&lt;48)</formula>
    </cfRule>
    <cfRule type="expression" dxfId="29" priority="14" stopIfTrue="1">
      <formula>AND($C39=3,$C$75&gt;48,$C$75&lt;56)</formula>
    </cfRule>
    <cfRule type="expression" dxfId="28" priority="15" stopIfTrue="1">
      <formula>AND($C39=1,$C$75&gt;0,$C$75&lt;32)</formula>
    </cfRule>
    <cfRule type="expression" dxfId="27" priority="16" stopIfTrue="1">
      <formula>AND($C39=2,$C$75&gt;32,$C$75&lt;48)</formula>
    </cfRule>
    <cfRule type="expression" dxfId="26" priority="17" stopIfTrue="1">
      <formula>AND($C39=3,$C$75&gt;48,$C$75&lt;56)</formula>
    </cfRule>
  </conditionalFormatting>
  <conditionalFormatting sqref="C57:C72">
    <cfRule type="expression" dxfId="25" priority="8" stopIfTrue="1">
      <formula>AND($C57=1,$C$75&gt;0,$C$75&lt;32)</formula>
    </cfRule>
    <cfRule type="expression" dxfId="24" priority="9" stopIfTrue="1">
      <formula>AND($C57=2,$C$75&gt;32,$C$75&lt;48)</formula>
    </cfRule>
    <cfRule type="expression" dxfId="23" priority="10" stopIfTrue="1">
      <formula>AND($C57=3,$C$75&gt;48,$C$75&lt;56)</formula>
    </cfRule>
  </conditionalFormatting>
  <conditionalFormatting sqref="D57:D72">
    <cfRule type="expression" dxfId="22" priority="1" stopIfTrue="1">
      <formula>AND($C57=1,$C$75&gt;0,$C$75&lt;32)</formula>
    </cfRule>
    <cfRule type="expression" dxfId="21" priority="2" stopIfTrue="1">
      <formula>$D57=0</formula>
    </cfRule>
    <cfRule type="expression" dxfId="20" priority="3" stopIfTrue="1">
      <formula>AND($C57=2,$C$75&gt;32,$C$75&lt;48)</formula>
    </cfRule>
    <cfRule type="expression" dxfId="19" priority="4" stopIfTrue="1">
      <formula>AND($C57=3,$C$75&gt;48,$C$75&lt;56)</formula>
    </cfRule>
    <cfRule type="expression" dxfId="18" priority="5" stopIfTrue="1">
      <formula>AND($C57=1,$C$75&gt;0,$C$75&lt;32)</formula>
    </cfRule>
    <cfRule type="expression" dxfId="17" priority="6" stopIfTrue="1">
      <formula>AND($C57=2,$C$75&gt;32,$C$75&lt;48)</formula>
    </cfRule>
    <cfRule type="expression" dxfId="16" priority="7" stopIfTrue="1">
      <formula>AND($C57=3,$C$75&gt;48,$C$75&lt;56)</formula>
    </cfRule>
  </conditionalFormatting>
  <pageMargins left="0.25" right="0.25" top="1" bottom="1.27" header="0.5" footer="0.5"/>
  <pageSetup scale="44"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77"/>
  <sheetViews>
    <sheetView workbookViewId="0">
      <selection activeCell="I18" sqref="I18"/>
    </sheetView>
  </sheetViews>
  <sheetFormatPr defaultColWidth="9.109375" defaultRowHeight="10.199999999999999" x14ac:dyDescent="0.2"/>
  <cols>
    <col min="1" max="1" width="4.44140625" style="4" customWidth="1"/>
    <col min="2" max="2" width="14.44140625" style="3" customWidth="1"/>
    <col min="3" max="3" width="4" style="5" customWidth="1"/>
    <col min="4" max="4" width="3.44140625" style="5" customWidth="1"/>
    <col min="5" max="5" width="1.6640625" style="5" customWidth="1"/>
    <col min="6" max="6" width="4.5546875" style="5" customWidth="1"/>
    <col min="7" max="7" width="5" style="5" customWidth="1"/>
    <col min="8" max="8" width="1.6640625" style="5" customWidth="1"/>
    <col min="9" max="9" width="9.109375" style="5" customWidth="1"/>
    <col min="10" max="11" width="9.109375" style="3" customWidth="1"/>
    <col min="12" max="16384" width="9.109375" style="3"/>
  </cols>
  <sheetData>
    <row r="1" spans="1:11" x14ac:dyDescent="0.2">
      <c r="E1" s="12"/>
      <c r="H1" s="12"/>
    </row>
    <row r="2" spans="1:11" ht="12" customHeight="1" thickBot="1" x14ac:dyDescent="0.25">
      <c r="A2" s="1" t="s">
        <v>17</v>
      </c>
      <c r="B2" s="2" t="s">
        <v>18</v>
      </c>
      <c r="C2" s="2" t="s">
        <v>19</v>
      </c>
      <c r="D2" s="2" t="s">
        <v>20</v>
      </c>
      <c r="E2" s="12"/>
      <c r="F2" s="2" t="s">
        <v>21</v>
      </c>
      <c r="G2" s="2" t="s">
        <v>23</v>
      </c>
      <c r="H2" s="12"/>
    </row>
    <row r="3" spans="1:11" s="14" customFormat="1" x14ac:dyDescent="0.2">
      <c r="A3" s="15">
        <v>1</v>
      </c>
      <c r="B3" s="14" t="s">
        <v>27</v>
      </c>
      <c r="C3" s="15">
        <v>0</v>
      </c>
      <c r="D3" s="15">
        <v>1</v>
      </c>
      <c r="E3" s="16"/>
      <c r="F3" s="15">
        <v>0</v>
      </c>
      <c r="G3" s="15">
        <f t="shared" ref="G3:G18" si="0">D3*(6-C3)*F3</f>
        <v>0</v>
      </c>
      <c r="H3" s="16"/>
      <c r="I3" s="15" t="s">
        <v>125</v>
      </c>
      <c r="K3" s="15"/>
    </row>
    <row r="4" spans="1:11" s="14" customFormat="1" x14ac:dyDescent="0.2">
      <c r="A4" s="15">
        <v>16</v>
      </c>
      <c r="B4" s="32" t="s">
        <v>28</v>
      </c>
      <c r="C4" s="15">
        <v>0</v>
      </c>
      <c r="D4" s="15">
        <v>1</v>
      </c>
      <c r="E4" s="16"/>
      <c r="F4" s="15">
        <v>0</v>
      </c>
      <c r="G4" s="15">
        <f t="shared" si="0"/>
        <v>0</v>
      </c>
      <c r="H4" s="16"/>
      <c r="I4" s="15" t="s">
        <v>125</v>
      </c>
      <c r="K4" s="15"/>
    </row>
    <row r="5" spans="1:11" s="14" customFormat="1" x14ac:dyDescent="0.2">
      <c r="A5" s="15">
        <v>8</v>
      </c>
      <c r="B5" s="14" t="s">
        <v>29</v>
      </c>
      <c r="C5" s="15">
        <v>0</v>
      </c>
      <c r="D5" s="15">
        <v>1</v>
      </c>
      <c r="E5" s="16"/>
      <c r="F5" s="15">
        <v>0</v>
      </c>
      <c r="G5" s="15">
        <f t="shared" si="0"/>
        <v>0</v>
      </c>
      <c r="H5" s="16"/>
      <c r="I5" s="15" t="s">
        <v>125</v>
      </c>
      <c r="K5" s="15"/>
    </row>
    <row r="6" spans="1:11" s="14" customFormat="1" x14ac:dyDescent="0.2">
      <c r="A6" s="15">
        <v>9</v>
      </c>
      <c r="B6" s="14" t="s">
        <v>30</v>
      </c>
      <c r="C6" s="15">
        <v>0</v>
      </c>
      <c r="D6" s="15">
        <v>1</v>
      </c>
      <c r="E6" s="16"/>
      <c r="F6" s="15">
        <v>0</v>
      </c>
      <c r="G6" s="15">
        <f t="shared" si="0"/>
        <v>0</v>
      </c>
      <c r="H6" s="16"/>
      <c r="I6" s="15" t="s">
        <v>125</v>
      </c>
      <c r="K6" s="15"/>
    </row>
    <row r="7" spans="1:11" s="14" customFormat="1" x14ac:dyDescent="0.2">
      <c r="A7" s="15">
        <v>5</v>
      </c>
      <c r="B7" s="14" t="s">
        <v>31</v>
      </c>
      <c r="C7" s="15">
        <v>0</v>
      </c>
      <c r="D7" s="15">
        <v>1</v>
      </c>
      <c r="E7" s="16"/>
      <c r="F7" s="15">
        <v>0</v>
      </c>
      <c r="G7" s="15">
        <f t="shared" si="0"/>
        <v>0</v>
      </c>
      <c r="H7" s="16"/>
      <c r="I7" s="15" t="s">
        <v>125</v>
      </c>
      <c r="K7" s="15"/>
    </row>
    <row r="8" spans="1:11" s="14" customFormat="1" x14ac:dyDescent="0.2">
      <c r="A8" s="15">
        <v>12</v>
      </c>
      <c r="B8" s="32" t="s">
        <v>32</v>
      </c>
      <c r="C8" s="15">
        <v>0</v>
      </c>
      <c r="D8" s="15">
        <v>1</v>
      </c>
      <c r="E8" s="16"/>
      <c r="F8" s="15">
        <v>0</v>
      </c>
      <c r="G8" s="15">
        <f t="shared" si="0"/>
        <v>0</v>
      </c>
      <c r="H8" s="16"/>
      <c r="I8" s="15" t="s">
        <v>125</v>
      </c>
      <c r="K8" s="15"/>
    </row>
    <row r="9" spans="1:11" s="14" customFormat="1" x14ac:dyDescent="0.2">
      <c r="A9" s="15">
        <v>4</v>
      </c>
      <c r="B9" s="32" t="s">
        <v>33</v>
      </c>
      <c r="C9" s="15">
        <v>0</v>
      </c>
      <c r="D9" s="15">
        <v>1</v>
      </c>
      <c r="E9" s="16"/>
      <c r="F9" s="15">
        <v>0</v>
      </c>
      <c r="G9" s="15">
        <f t="shared" si="0"/>
        <v>0</v>
      </c>
      <c r="H9" s="16"/>
      <c r="I9" s="15" t="s">
        <v>125</v>
      </c>
      <c r="K9" s="15"/>
    </row>
    <row r="10" spans="1:11" s="14" customFormat="1" x14ac:dyDescent="0.2">
      <c r="A10" s="15">
        <v>13</v>
      </c>
      <c r="B10" s="14" t="s">
        <v>34</v>
      </c>
      <c r="C10" s="15">
        <v>0</v>
      </c>
      <c r="D10" s="15">
        <v>1</v>
      </c>
      <c r="E10" s="16"/>
      <c r="F10" s="15">
        <v>0</v>
      </c>
      <c r="G10" s="15">
        <f t="shared" si="0"/>
        <v>0</v>
      </c>
      <c r="H10" s="16"/>
      <c r="I10" s="15" t="s">
        <v>125</v>
      </c>
      <c r="K10" s="15"/>
    </row>
    <row r="11" spans="1:11" s="14" customFormat="1" x14ac:dyDescent="0.2">
      <c r="A11" s="15">
        <v>6</v>
      </c>
      <c r="B11" s="14" t="s">
        <v>35</v>
      </c>
      <c r="C11" s="15">
        <v>0</v>
      </c>
      <c r="D11" s="15">
        <v>1</v>
      </c>
      <c r="E11" s="16"/>
      <c r="F11" s="15">
        <v>0</v>
      </c>
      <c r="G11" s="15">
        <f t="shared" si="0"/>
        <v>0</v>
      </c>
      <c r="H11" s="16"/>
      <c r="I11" s="15" t="s">
        <v>125</v>
      </c>
      <c r="K11" s="15"/>
    </row>
    <row r="12" spans="1:11" s="14" customFormat="1" x14ac:dyDescent="0.2">
      <c r="A12" s="15">
        <v>11</v>
      </c>
      <c r="B12" s="32" t="s">
        <v>36</v>
      </c>
      <c r="C12" s="15">
        <v>0</v>
      </c>
      <c r="D12" s="15">
        <v>1</v>
      </c>
      <c r="E12" s="16"/>
      <c r="F12" s="15">
        <v>0</v>
      </c>
      <c r="G12" s="15">
        <f t="shared" si="0"/>
        <v>0</v>
      </c>
      <c r="H12" s="16"/>
      <c r="I12" s="15" t="s">
        <v>125</v>
      </c>
      <c r="K12" s="15"/>
    </row>
    <row r="13" spans="1:11" s="14" customFormat="1" x14ac:dyDescent="0.2">
      <c r="A13" s="15">
        <v>3</v>
      </c>
      <c r="B13" s="14" t="s">
        <v>37</v>
      </c>
      <c r="C13" s="15">
        <v>0</v>
      </c>
      <c r="D13" s="15">
        <v>1</v>
      </c>
      <c r="E13" s="16"/>
      <c r="F13" s="15">
        <v>0</v>
      </c>
      <c r="G13" s="15">
        <f t="shared" si="0"/>
        <v>0</v>
      </c>
      <c r="H13" s="16"/>
      <c r="I13" s="15" t="s">
        <v>125</v>
      </c>
      <c r="K13" s="15"/>
    </row>
    <row r="14" spans="1:11" s="14" customFormat="1" x14ac:dyDescent="0.2">
      <c r="A14" s="15">
        <v>14</v>
      </c>
      <c r="B14" s="14" t="s">
        <v>38</v>
      </c>
      <c r="C14" s="15">
        <v>0</v>
      </c>
      <c r="D14" s="15">
        <v>1</v>
      </c>
      <c r="E14" s="16"/>
      <c r="F14" s="15">
        <v>0</v>
      </c>
      <c r="G14" s="15">
        <f t="shared" si="0"/>
        <v>0</v>
      </c>
      <c r="H14" s="16"/>
      <c r="I14" s="15" t="s">
        <v>125</v>
      </c>
      <c r="K14" s="15"/>
    </row>
    <row r="15" spans="1:11" s="14" customFormat="1" x14ac:dyDescent="0.2">
      <c r="A15" s="15">
        <v>7</v>
      </c>
      <c r="B15" s="14" t="s">
        <v>39</v>
      </c>
      <c r="C15" s="15">
        <v>0</v>
      </c>
      <c r="D15" s="15">
        <v>1</v>
      </c>
      <c r="E15" s="16"/>
      <c r="F15" s="15">
        <v>0</v>
      </c>
      <c r="G15" s="15">
        <f t="shared" si="0"/>
        <v>0</v>
      </c>
      <c r="H15" s="16"/>
      <c r="I15" s="15" t="s">
        <v>125</v>
      </c>
      <c r="K15" s="15"/>
    </row>
    <row r="16" spans="1:11" s="14" customFormat="1" x14ac:dyDescent="0.2">
      <c r="A16" s="15">
        <v>10</v>
      </c>
      <c r="B16" s="14" t="s">
        <v>40</v>
      </c>
      <c r="C16" s="15">
        <v>0</v>
      </c>
      <c r="D16" s="15">
        <v>1</v>
      </c>
      <c r="E16" s="16"/>
      <c r="F16" s="15">
        <v>0</v>
      </c>
      <c r="G16" s="15">
        <f t="shared" si="0"/>
        <v>0</v>
      </c>
      <c r="H16" s="16"/>
      <c r="I16" s="15" t="s">
        <v>125</v>
      </c>
      <c r="K16" s="15"/>
    </row>
    <row r="17" spans="1:11" s="14" customFormat="1" x14ac:dyDescent="0.2">
      <c r="A17" s="15">
        <v>2</v>
      </c>
      <c r="B17" s="14" t="s">
        <v>41</v>
      </c>
      <c r="C17" s="15">
        <v>0</v>
      </c>
      <c r="D17" s="15">
        <v>1</v>
      </c>
      <c r="E17" s="16"/>
      <c r="F17" s="15">
        <v>0</v>
      </c>
      <c r="G17" s="15">
        <f t="shared" si="0"/>
        <v>0</v>
      </c>
      <c r="H17" s="16"/>
      <c r="I17" s="15" t="s">
        <v>125</v>
      </c>
      <c r="K17" s="15"/>
    </row>
    <row r="18" spans="1:11" s="14" customFormat="1" x14ac:dyDescent="0.2">
      <c r="A18" s="15">
        <v>15</v>
      </c>
      <c r="B18" s="14" t="s">
        <v>42</v>
      </c>
      <c r="C18" s="15">
        <v>0</v>
      </c>
      <c r="D18" s="15">
        <v>1</v>
      </c>
      <c r="E18" s="16"/>
      <c r="F18" s="15">
        <v>0</v>
      </c>
      <c r="G18" s="15">
        <f t="shared" si="0"/>
        <v>0</v>
      </c>
      <c r="H18" s="16"/>
      <c r="I18" s="15" t="s">
        <v>125</v>
      </c>
      <c r="K18" s="15"/>
    </row>
    <row r="19" spans="1:11" s="10" customFormat="1" x14ac:dyDescent="0.2">
      <c r="A19" s="9"/>
      <c r="B19" s="10" t="s">
        <v>43</v>
      </c>
      <c r="C19" s="9"/>
      <c r="D19" s="9"/>
      <c r="E19" s="12"/>
      <c r="F19" s="9">
        <f>SUM(F3:F18)</f>
        <v>0</v>
      </c>
      <c r="G19" s="9">
        <f>SUM(G3:G18)</f>
        <v>0</v>
      </c>
      <c r="H19" s="12"/>
      <c r="I19" s="9"/>
      <c r="K19" s="9"/>
    </row>
    <row r="20" spans="1:11" x14ac:dyDescent="0.2">
      <c r="A20" s="5"/>
      <c r="E20" s="12"/>
      <c r="H20" s="12"/>
      <c r="K20" s="5"/>
    </row>
    <row r="21" spans="1:11" s="14" customFormat="1" x14ac:dyDescent="0.2">
      <c r="A21" s="15">
        <v>1</v>
      </c>
      <c r="B21" s="14" t="s">
        <v>44</v>
      </c>
      <c r="C21" s="15">
        <v>0</v>
      </c>
      <c r="D21" s="15">
        <v>1</v>
      </c>
      <c r="E21" s="16"/>
      <c r="F21" s="15">
        <v>0</v>
      </c>
      <c r="G21" s="15">
        <f t="shared" ref="G21:G36" si="1">D21*(6-C21)*F21</f>
        <v>0</v>
      </c>
      <c r="H21" s="16"/>
      <c r="I21" s="15" t="s">
        <v>126</v>
      </c>
      <c r="K21" s="15"/>
    </row>
    <row r="22" spans="1:11" s="14" customFormat="1" x14ac:dyDescent="0.2">
      <c r="A22" s="15">
        <v>16</v>
      </c>
      <c r="B22" s="14" t="s">
        <v>45</v>
      </c>
      <c r="C22" s="15">
        <v>0</v>
      </c>
      <c r="D22" s="15">
        <v>1</v>
      </c>
      <c r="E22" s="16"/>
      <c r="F22" s="15">
        <v>0</v>
      </c>
      <c r="G22" s="15">
        <f t="shared" si="1"/>
        <v>0</v>
      </c>
      <c r="H22" s="16"/>
      <c r="I22" s="15" t="s">
        <v>126</v>
      </c>
      <c r="K22" s="15"/>
    </row>
    <row r="23" spans="1:11" s="14" customFormat="1" x14ac:dyDescent="0.2">
      <c r="A23" s="15">
        <v>8</v>
      </c>
      <c r="B23" s="14" t="s">
        <v>46</v>
      </c>
      <c r="C23" s="15">
        <v>0</v>
      </c>
      <c r="D23" s="15">
        <v>1</v>
      </c>
      <c r="E23" s="16"/>
      <c r="F23" s="15">
        <v>0</v>
      </c>
      <c r="G23" s="15">
        <f t="shared" si="1"/>
        <v>0</v>
      </c>
      <c r="H23" s="16"/>
      <c r="I23" s="15" t="s">
        <v>126</v>
      </c>
      <c r="K23" s="15"/>
    </row>
    <row r="24" spans="1:11" s="14" customFormat="1" x14ac:dyDescent="0.2">
      <c r="A24" s="15">
        <v>9</v>
      </c>
      <c r="B24" s="14" t="s">
        <v>47</v>
      </c>
      <c r="C24" s="15">
        <v>0</v>
      </c>
      <c r="D24" s="15">
        <v>1</v>
      </c>
      <c r="E24" s="16"/>
      <c r="F24" s="15">
        <v>0</v>
      </c>
      <c r="G24" s="15">
        <f t="shared" si="1"/>
        <v>0</v>
      </c>
      <c r="H24" s="16"/>
      <c r="I24" s="15" t="s">
        <v>126</v>
      </c>
      <c r="K24" s="15"/>
    </row>
    <row r="25" spans="1:11" s="14" customFormat="1" x14ac:dyDescent="0.2">
      <c r="A25" s="15">
        <v>5</v>
      </c>
      <c r="B25" s="14" t="s">
        <v>48</v>
      </c>
      <c r="C25" s="15">
        <v>0</v>
      </c>
      <c r="D25" s="15">
        <v>1</v>
      </c>
      <c r="E25" s="16"/>
      <c r="F25" s="15">
        <v>0</v>
      </c>
      <c r="G25" s="15">
        <f t="shared" si="1"/>
        <v>0</v>
      </c>
      <c r="H25" s="16"/>
      <c r="I25" s="15" t="s">
        <v>126</v>
      </c>
      <c r="K25" s="15"/>
    </row>
    <row r="26" spans="1:11" s="14" customFormat="1" x14ac:dyDescent="0.2">
      <c r="A26" s="15">
        <v>12</v>
      </c>
      <c r="B26" s="14" t="s">
        <v>49</v>
      </c>
      <c r="C26" s="15">
        <v>0</v>
      </c>
      <c r="D26" s="15">
        <v>1</v>
      </c>
      <c r="E26" s="16"/>
      <c r="F26" s="15">
        <v>0</v>
      </c>
      <c r="G26" s="15">
        <f t="shared" si="1"/>
        <v>0</v>
      </c>
      <c r="H26" s="16"/>
      <c r="I26" s="15" t="s">
        <v>126</v>
      </c>
      <c r="K26" s="15"/>
    </row>
    <row r="27" spans="1:11" s="14" customFormat="1" x14ac:dyDescent="0.2">
      <c r="A27" s="15">
        <v>4</v>
      </c>
      <c r="B27" s="14" t="s">
        <v>50</v>
      </c>
      <c r="C27" s="15">
        <v>0</v>
      </c>
      <c r="D27" s="15">
        <v>1</v>
      </c>
      <c r="E27" s="16"/>
      <c r="F27" s="15">
        <v>0</v>
      </c>
      <c r="G27" s="15">
        <f t="shared" si="1"/>
        <v>0</v>
      </c>
      <c r="H27" s="16"/>
      <c r="I27" s="15" t="s">
        <v>126</v>
      </c>
      <c r="K27" s="15"/>
    </row>
    <row r="28" spans="1:11" s="14" customFormat="1" x14ac:dyDescent="0.2">
      <c r="A28" s="15">
        <v>13</v>
      </c>
      <c r="B28" s="14" t="s">
        <v>51</v>
      </c>
      <c r="C28" s="15">
        <v>0</v>
      </c>
      <c r="D28" s="15">
        <v>1</v>
      </c>
      <c r="E28" s="16"/>
      <c r="F28" s="15">
        <v>0</v>
      </c>
      <c r="G28" s="15">
        <f t="shared" si="1"/>
        <v>0</v>
      </c>
      <c r="H28" s="16"/>
      <c r="I28" s="15" t="s">
        <v>126</v>
      </c>
      <c r="K28" s="15"/>
    </row>
    <row r="29" spans="1:11" s="14" customFormat="1" x14ac:dyDescent="0.2">
      <c r="A29" s="15">
        <v>6</v>
      </c>
      <c r="B29" s="14" t="s">
        <v>52</v>
      </c>
      <c r="C29" s="15">
        <v>0</v>
      </c>
      <c r="D29" s="15">
        <v>1</v>
      </c>
      <c r="E29" s="16"/>
      <c r="F29" s="15">
        <v>0</v>
      </c>
      <c r="G29" s="15">
        <f t="shared" si="1"/>
        <v>0</v>
      </c>
      <c r="H29" s="16"/>
      <c r="I29" s="15" t="s">
        <v>126</v>
      </c>
      <c r="K29" s="15"/>
    </row>
    <row r="30" spans="1:11" s="14" customFormat="1" x14ac:dyDescent="0.2">
      <c r="A30" s="15">
        <v>11</v>
      </c>
      <c r="B30" s="14" t="s">
        <v>53</v>
      </c>
      <c r="C30" s="15">
        <v>0</v>
      </c>
      <c r="D30" s="15">
        <v>1</v>
      </c>
      <c r="E30" s="16"/>
      <c r="F30" s="15">
        <v>0</v>
      </c>
      <c r="G30" s="15">
        <f t="shared" si="1"/>
        <v>0</v>
      </c>
      <c r="H30" s="16"/>
      <c r="I30" s="15" t="s">
        <v>126</v>
      </c>
      <c r="K30" s="15"/>
    </row>
    <row r="31" spans="1:11" s="14" customFormat="1" x14ac:dyDescent="0.2">
      <c r="A31" s="15">
        <v>3</v>
      </c>
      <c r="B31" s="14" t="s">
        <v>54</v>
      </c>
      <c r="C31" s="15">
        <v>0</v>
      </c>
      <c r="D31" s="15">
        <v>1</v>
      </c>
      <c r="E31" s="16"/>
      <c r="F31" s="15">
        <v>0</v>
      </c>
      <c r="G31" s="15">
        <f t="shared" si="1"/>
        <v>0</v>
      </c>
      <c r="H31" s="16"/>
      <c r="I31" s="15" t="s">
        <v>126</v>
      </c>
      <c r="K31" s="15"/>
    </row>
    <row r="32" spans="1:11" s="14" customFormat="1" x14ac:dyDescent="0.2">
      <c r="A32" s="15">
        <v>14</v>
      </c>
      <c r="B32" s="14" t="s">
        <v>55</v>
      </c>
      <c r="C32" s="15">
        <v>0</v>
      </c>
      <c r="D32" s="15">
        <v>1</v>
      </c>
      <c r="E32" s="16"/>
      <c r="F32" s="15">
        <v>0</v>
      </c>
      <c r="G32" s="15">
        <f t="shared" si="1"/>
        <v>0</v>
      </c>
      <c r="H32" s="16"/>
      <c r="I32" s="15" t="s">
        <v>126</v>
      </c>
      <c r="K32" s="15"/>
    </row>
    <row r="33" spans="1:11" s="14" customFormat="1" x14ac:dyDescent="0.2">
      <c r="A33" s="15">
        <v>7</v>
      </c>
      <c r="B33" s="14" t="s">
        <v>56</v>
      </c>
      <c r="C33" s="15">
        <v>0</v>
      </c>
      <c r="D33" s="15">
        <v>1</v>
      </c>
      <c r="E33" s="16"/>
      <c r="F33" s="15">
        <v>0</v>
      </c>
      <c r="G33" s="15">
        <f t="shared" si="1"/>
        <v>0</v>
      </c>
      <c r="H33" s="16"/>
      <c r="I33" s="15" t="s">
        <v>126</v>
      </c>
      <c r="K33" s="15"/>
    </row>
    <row r="34" spans="1:11" s="14" customFormat="1" x14ac:dyDescent="0.2">
      <c r="A34" s="15">
        <v>10</v>
      </c>
      <c r="B34" s="14" t="s">
        <v>57</v>
      </c>
      <c r="C34" s="15">
        <v>0</v>
      </c>
      <c r="D34" s="15">
        <v>1</v>
      </c>
      <c r="E34" s="16"/>
      <c r="F34" s="15">
        <v>0</v>
      </c>
      <c r="G34" s="15">
        <f t="shared" si="1"/>
        <v>0</v>
      </c>
      <c r="H34" s="16"/>
      <c r="I34" s="15" t="s">
        <v>126</v>
      </c>
      <c r="K34" s="15"/>
    </row>
    <row r="35" spans="1:11" s="14" customFormat="1" x14ac:dyDescent="0.2">
      <c r="A35" s="15">
        <v>2</v>
      </c>
      <c r="B35" s="14" t="s">
        <v>58</v>
      </c>
      <c r="C35" s="15">
        <v>0</v>
      </c>
      <c r="D35" s="15">
        <v>1</v>
      </c>
      <c r="E35" s="16"/>
      <c r="F35" s="15">
        <v>0</v>
      </c>
      <c r="G35" s="15">
        <f t="shared" si="1"/>
        <v>0</v>
      </c>
      <c r="H35" s="16"/>
      <c r="I35" s="15" t="s">
        <v>126</v>
      </c>
      <c r="K35" s="15"/>
    </row>
    <row r="36" spans="1:11" s="14" customFormat="1" x14ac:dyDescent="0.2">
      <c r="A36" s="15">
        <v>15</v>
      </c>
      <c r="B36" s="14" t="s">
        <v>59</v>
      </c>
      <c r="C36" s="15">
        <v>0</v>
      </c>
      <c r="D36" s="15">
        <v>1</v>
      </c>
      <c r="E36" s="16"/>
      <c r="F36" s="15">
        <v>0</v>
      </c>
      <c r="G36" s="15">
        <f t="shared" si="1"/>
        <v>0</v>
      </c>
      <c r="H36" s="16"/>
      <c r="I36" s="15" t="s">
        <v>126</v>
      </c>
      <c r="K36" s="15"/>
    </row>
    <row r="37" spans="1:11" s="10" customFormat="1" x14ac:dyDescent="0.2">
      <c r="A37" s="9"/>
      <c r="B37" s="10" t="s">
        <v>60</v>
      </c>
      <c r="C37" s="9"/>
      <c r="D37" s="9"/>
      <c r="E37" s="12"/>
      <c r="F37" s="9">
        <f>SUM(F21:F36)</f>
        <v>0</v>
      </c>
      <c r="G37" s="9">
        <f>SUM(G21:G36)</f>
        <v>0</v>
      </c>
      <c r="H37" s="12"/>
      <c r="I37" s="9"/>
      <c r="K37" s="9"/>
    </row>
    <row r="38" spans="1:11" x14ac:dyDescent="0.2">
      <c r="A38" s="5"/>
      <c r="E38" s="12"/>
      <c r="H38" s="12"/>
      <c r="K38" s="5"/>
    </row>
    <row r="39" spans="1:11" s="14" customFormat="1" x14ac:dyDescent="0.2">
      <c r="A39" s="15">
        <v>1</v>
      </c>
      <c r="B39" s="14" t="s">
        <v>61</v>
      </c>
      <c r="C39" s="15">
        <v>0</v>
      </c>
      <c r="D39" s="15">
        <v>1</v>
      </c>
      <c r="E39" s="16"/>
      <c r="F39" s="15">
        <v>0</v>
      </c>
      <c r="G39" s="15">
        <f t="shared" ref="G39:G54" si="2">D39*(6-C39)*F39</f>
        <v>0</v>
      </c>
      <c r="H39" s="16"/>
      <c r="I39" s="15" t="s">
        <v>127</v>
      </c>
      <c r="K39" s="15"/>
    </row>
    <row r="40" spans="1:11" s="14" customFormat="1" x14ac:dyDescent="0.2">
      <c r="A40" s="15">
        <v>16</v>
      </c>
      <c r="B40" s="32" t="s">
        <v>62</v>
      </c>
      <c r="C40" s="15">
        <v>0</v>
      </c>
      <c r="D40" s="15">
        <v>1</v>
      </c>
      <c r="E40" s="16"/>
      <c r="F40" s="15">
        <v>0</v>
      </c>
      <c r="G40" s="15">
        <f t="shared" si="2"/>
        <v>0</v>
      </c>
      <c r="H40" s="16"/>
      <c r="I40" s="15" t="s">
        <v>127</v>
      </c>
      <c r="K40" s="15"/>
    </row>
    <row r="41" spans="1:11" s="14" customFormat="1" x14ac:dyDescent="0.2">
      <c r="A41" s="15">
        <v>8</v>
      </c>
      <c r="B41" s="14" t="s">
        <v>63</v>
      </c>
      <c r="C41" s="15">
        <v>0</v>
      </c>
      <c r="D41" s="15">
        <v>1</v>
      </c>
      <c r="E41" s="16"/>
      <c r="F41" s="15">
        <v>0</v>
      </c>
      <c r="G41" s="15">
        <f t="shared" si="2"/>
        <v>0</v>
      </c>
      <c r="H41" s="16"/>
      <c r="I41" s="15" t="s">
        <v>127</v>
      </c>
      <c r="K41" s="15"/>
    </row>
    <row r="42" spans="1:11" s="14" customFormat="1" x14ac:dyDescent="0.2">
      <c r="A42" s="15">
        <v>9</v>
      </c>
      <c r="B42" s="14" t="s">
        <v>64</v>
      </c>
      <c r="C42" s="15">
        <v>0</v>
      </c>
      <c r="D42" s="15">
        <v>1</v>
      </c>
      <c r="E42" s="16"/>
      <c r="F42" s="15">
        <v>0</v>
      </c>
      <c r="G42" s="15">
        <f t="shared" si="2"/>
        <v>0</v>
      </c>
      <c r="H42" s="16"/>
      <c r="I42" s="15" t="s">
        <v>127</v>
      </c>
      <c r="K42" s="15"/>
    </row>
    <row r="43" spans="1:11" s="14" customFormat="1" x14ac:dyDescent="0.2">
      <c r="A43" s="15">
        <v>5</v>
      </c>
      <c r="B43" s="14" t="s">
        <v>65</v>
      </c>
      <c r="C43" s="15">
        <v>0</v>
      </c>
      <c r="D43" s="15">
        <v>1</v>
      </c>
      <c r="E43" s="16"/>
      <c r="F43" s="15">
        <v>0</v>
      </c>
      <c r="G43" s="15">
        <f t="shared" si="2"/>
        <v>0</v>
      </c>
      <c r="H43" s="16"/>
      <c r="I43" s="15" t="s">
        <v>127</v>
      </c>
      <c r="K43" s="15"/>
    </row>
    <row r="44" spans="1:11" s="14" customFormat="1" x14ac:dyDescent="0.2">
      <c r="A44" s="15">
        <v>12</v>
      </c>
      <c r="B44" s="32" t="s">
        <v>66</v>
      </c>
      <c r="C44" s="15">
        <v>0</v>
      </c>
      <c r="D44" s="15">
        <v>1</v>
      </c>
      <c r="E44" s="16"/>
      <c r="F44" s="15">
        <v>0</v>
      </c>
      <c r="G44" s="15">
        <f t="shared" si="2"/>
        <v>0</v>
      </c>
      <c r="H44" s="16"/>
      <c r="I44" s="15" t="s">
        <v>127</v>
      </c>
      <c r="K44" s="15"/>
    </row>
    <row r="45" spans="1:11" s="14" customFormat="1" x14ac:dyDescent="0.2">
      <c r="A45" s="15">
        <v>4</v>
      </c>
      <c r="B45" s="14" t="s">
        <v>67</v>
      </c>
      <c r="C45" s="15">
        <v>0</v>
      </c>
      <c r="D45" s="15">
        <v>1</v>
      </c>
      <c r="E45" s="16"/>
      <c r="F45" s="15">
        <v>0</v>
      </c>
      <c r="G45" s="15">
        <f t="shared" si="2"/>
        <v>0</v>
      </c>
      <c r="H45" s="16"/>
      <c r="I45" s="15" t="s">
        <v>127</v>
      </c>
      <c r="K45" s="15"/>
    </row>
    <row r="46" spans="1:11" s="14" customFormat="1" x14ac:dyDescent="0.2">
      <c r="A46" s="15">
        <v>13</v>
      </c>
      <c r="B46" s="14" t="s">
        <v>68</v>
      </c>
      <c r="C46" s="15">
        <v>0</v>
      </c>
      <c r="D46" s="15">
        <v>1</v>
      </c>
      <c r="E46" s="16"/>
      <c r="F46" s="15">
        <v>0</v>
      </c>
      <c r="G46" s="15">
        <f t="shared" si="2"/>
        <v>0</v>
      </c>
      <c r="H46" s="16"/>
      <c r="I46" s="15" t="s">
        <v>127</v>
      </c>
      <c r="K46" s="15"/>
    </row>
    <row r="47" spans="1:11" s="14" customFormat="1" x14ac:dyDescent="0.2">
      <c r="A47" s="15">
        <v>6</v>
      </c>
      <c r="B47" s="14" t="s">
        <v>69</v>
      </c>
      <c r="C47" s="15">
        <v>0</v>
      </c>
      <c r="D47" s="15">
        <v>1</v>
      </c>
      <c r="E47" s="16"/>
      <c r="F47" s="15">
        <v>0</v>
      </c>
      <c r="G47" s="15">
        <f t="shared" si="2"/>
        <v>0</v>
      </c>
      <c r="H47" s="16"/>
      <c r="I47" s="15" t="s">
        <v>127</v>
      </c>
      <c r="K47" s="15"/>
    </row>
    <row r="48" spans="1:11" s="14" customFormat="1" x14ac:dyDescent="0.2">
      <c r="A48" s="15">
        <v>11</v>
      </c>
      <c r="B48" s="14" t="s">
        <v>70</v>
      </c>
      <c r="C48" s="15">
        <v>0</v>
      </c>
      <c r="D48" s="15">
        <v>1</v>
      </c>
      <c r="E48" s="16"/>
      <c r="F48" s="15">
        <v>0</v>
      </c>
      <c r="G48" s="15">
        <f t="shared" si="2"/>
        <v>0</v>
      </c>
      <c r="H48" s="16"/>
      <c r="I48" s="15" t="s">
        <v>127</v>
      </c>
      <c r="K48" s="15"/>
    </row>
    <row r="49" spans="1:11" s="14" customFormat="1" x14ac:dyDescent="0.2">
      <c r="A49" s="15">
        <v>3</v>
      </c>
      <c r="B49" s="14" t="s">
        <v>71</v>
      </c>
      <c r="C49" s="15">
        <v>0</v>
      </c>
      <c r="D49" s="15">
        <v>1</v>
      </c>
      <c r="E49" s="16"/>
      <c r="F49" s="15">
        <v>0</v>
      </c>
      <c r="G49" s="15">
        <f t="shared" si="2"/>
        <v>0</v>
      </c>
      <c r="H49" s="16"/>
      <c r="I49" s="15" t="s">
        <v>127</v>
      </c>
      <c r="K49" s="15"/>
    </row>
    <row r="50" spans="1:11" s="14" customFormat="1" x14ac:dyDescent="0.2">
      <c r="A50" s="15">
        <v>14</v>
      </c>
      <c r="B50" s="14" t="s">
        <v>72</v>
      </c>
      <c r="C50" s="15">
        <v>0</v>
      </c>
      <c r="D50" s="15">
        <v>1</v>
      </c>
      <c r="E50" s="16"/>
      <c r="F50" s="15">
        <v>0</v>
      </c>
      <c r="G50" s="15">
        <f t="shared" si="2"/>
        <v>0</v>
      </c>
      <c r="H50" s="16"/>
      <c r="I50" s="15" t="s">
        <v>127</v>
      </c>
      <c r="K50" s="15"/>
    </row>
    <row r="51" spans="1:11" s="14" customFormat="1" x14ac:dyDescent="0.2">
      <c r="A51" s="15">
        <v>7</v>
      </c>
      <c r="B51" s="14" t="s">
        <v>73</v>
      </c>
      <c r="C51" s="15">
        <v>0</v>
      </c>
      <c r="D51" s="15">
        <v>1</v>
      </c>
      <c r="E51" s="16"/>
      <c r="F51" s="15">
        <v>0</v>
      </c>
      <c r="G51" s="15">
        <f t="shared" si="2"/>
        <v>0</v>
      </c>
      <c r="H51" s="16"/>
      <c r="I51" s="15" t="s">
        <v>127</v>
      </c>
      <c r="K51" s="15"/>
    </row>
    <row r="52" spans="1:11" s="14" customFormat="1" x14ac:dyDescent="0.2">
      <c r="A52" s="15">
        <v>10</v>
      </c>
      <c r="B52" s="14" t="s">
        <v>74</v>
      </c>
      <c r="C52" s="15">
        <v>0</v>
      </c>
      <c r="D52" s="15">
        <v>1</v>
      </c>
      <c r="E52" s="16"/>
      <c r="F52" s="15">
        <v>0</v>
      </c>
      <c r="G52" s="15">
        <f t="shared" si="2"/>
        <v>0</v>
      </c>
      <c r="H52" s="16"/>
      <c r="I52" s="15" t="s">
        <v>127</v>
      </c>
      <c r="K52" s="15"/>
    </row>
    <row r="53" spans="1:11" s="14" customFormat="1" x14ac:dyDescent="0.2">
      <c r="A53" s="15">
        <v>2</v>
      </c>
      <c r="B53" s="14" t="s">
        <v>75</v>
      </c>
      <c r="C53" s="15">
        <v>0</v>
      </c>
      <c r="D53" s="15">
        <v>1</v>
      </c>
      <c r="E53" s="16"/>
      <c r="F53" s="15">
        <v>0</v>
      </c>
      <c r="G53" s="15">
        <f t="shared" si="2"/>
        <v>0</v>
      </c>
      <c r="H53" s="16"/>
      <c r="I53" s="15" t="s">
        <v>127</v>
      </c>
      <c r="K53" s="15"/>
    </row>
    <row r="54" spans="1:11" s="14" customFormat="1" x14ac:dyDescent="0.2">
      <c r="A54" s="15">
        <v>15</v>
      </c>
      <c r="B54" s="14" t="s">
        <v>76</v>
      </c>
      <c r="C54" s="15">
        <v>0</v>
      </c>
      <c r="D54" s="15">
        <v>1</v>
      </c>
      <c r="E54" s="16"/>
      <c r="F54" s="15">
        <v>0</v>
      </c>
      <c r="G54" s="15">
        <f t="shared" si="2"/>
        <v>0</v>
      </c>
      <c r="H54" s="16"/>
      <c r="I54" s="15" t="s">
        <v>127</v>
      </c>
      <c r="K54" s="15"/>
    </row>
    <row r="55" spans="1:11" s="10" customFormat="1" x14ac:dyDescent="0.2">
      <c r="A55" s="9"/>
      <c r="B55" s="10" t="s">
        <v>77</v>
      </c>
      <c r="C55" s="9"/>
      <c r="D55" s="9"/>
      <c r="E55" s="12"/>
      <c r="F55" s="9">
        <f>SUM(F39:F54)</f>
        <v>0</v>
      </c>
      <c r="G55" s="9">
        <f>SUM(G39:G54)</f>
        <v>0</v>
      </c>
      <c r="H55" s="12"/>
      <c r="I55" s="9"/>
      <c r="K55" s="9"/>
    </row>
    <row r="56" spans="1:11" x14ac:dyDescent="0.2">
      <c r="A56" s="5"/>
      <c r="E56" s="12"/>
      <c r="H56" s="12"/>
      <c r="K56" s="5"/>
    </row>
    <row r="57" spans="1:11" s="14" customFormat="1" x14ac:dyDescent="0.2">
      <c r="A57" s="15">
        <v>1</v>
      </c>
      <c r="B57" s="14" t="s">
        <v>78</v>
      </c>
      <c r="C57" s="15">
        <v>0</v>
      </c>
      <c r="D57" s="15">
        <v>1</v>
      </c>
      <c r="E57" s="16"/>
      <c r="F57" s="15">
        <v>0</v>
      </c>
      <c r="G57" s="15">
        <f t="shared" ref="G57:G72" si="3">D57*(6-C57)*F57</f>
        <v>0</v>
      </c>
      <c r="H57" s="16"/>
      <c r="I57" s="15" t="s">
        <v>128</v>
      </c>
      <c r="K57" s="15"/>
    </row>
    <row r="58" spans="1:11" s="14" customFormat="1" x14ac:dyDescent="0.2">
      <c r="A58" s="15">
        <v>16</v>
      </c>
      <c r="B58" s="32" t="s">
        <v>79</v>
      </c>
      <c r="C58" s="15">
        <v>0</v>
      </c>
      <c r="D58" s="15">
        <v>1</v>
      </c>
      <c r="E58" s="16"/>
      <c r="F58" s="15">
        <v>0</v>
      </c>
      <c r="G58" s="15">
        <f t="shared" si="3"/>
        <v>0</v>
      </c>
      <c r="H58" s="16"/>
      <c r="I58" s="15" t="s">
        <v>128</v>
      </c>
      <c r="K58" s="15"/>
    </row>
    <row r="59" spans="1:11" s="14" customFormat="1" x14ac:dyDescent="0.2">
      <c r="A59" s="15">
        <v>8</v>
      </c>
      <c r="B59" s="14" t="s">
        <v>80</v>
      </c>
      <c r="C59" s="15">
        <v>0</v>
      </c>
      <c r="D59" s="15">
        <v>1</v>
      </c>
      <c r="E59" s="16"/>
      <c r="F59" s="15">
        <v>0</v>
      </c>
      <c r="G59" s="15">
        <f t="shared" si="3"/>
        <v>0</v>
      </c>
      <c r="H59" s="16"/>
      <c r="I59" s="15" t="s">
        <v>128</v>
      </c>
      <c r="K59" s="15"/>
    </row>
    <row r="60" spans="1:11" s="14" customFormat="1" x14ac:dyDescent="0.2">
      <c r="A60" s="15">
        <v>9</v>
      </c>
      <c r="B60" s="14" t="s">
        <v>81</v>
      </c>
      <c r="C60" s="15">
        <v>0</v>
      </c>
      <c r="D60" s="15">
        <v>1</v>
      </c>
      <c r="E60" s="16"/>
      <c r="F60" s="15">
        <v>0</v>
      </c>
      <c r="G60" s="15">
        <f t="shared" si="3"/>
        <v>0</v>
      </c>
      <c r="H60" s="16"/>
      <c r="I60" s="15" t="s">
        <v>128</v>
      </c>
      <c r="K60" s="15"/>
    </row>
    <row r="61" spans="1:11" s="14" customFormat="1" x14ac:dyDescent="0.2">
      <c r="A61" s="15">
        <v>5</v>
      </c>
      <c r="B61" s="14" t="s">
        <v>82</v>
      </c>
      <c r="C61" s="15">
        <v>0</v>
      </c>
      <c r="D61" s="15">
        <v>1</v>
      </c>
      <c r="E61" s="16"/>
      <c r="F61" s="15">
        <v>0</v>
      </c>
      <c r="G61" s="15">
        <f t="shared" si="3"/>
        <v>0</v>
      </c>
      <c r="H61" s="16"/>
      <c r="I61" s="15" t="s">
        <v>128</v>
      </c>
      <c r="K61" s="15"/>
    </row>
    <row r="62" spans="1:11" s="14" customFormat="1" x14ac:dyDescent="0.2">
      <c r="A62" s="15">
        <v>12</v>
      </c>
      <c r="B62" s="32" t="s">
        <v>83</v>
      </c>
      <c r="C62" s="15">
        <v>0</v>
      </c>
      <c r="D62" s="15">
        <v>1</v>
      </c>
      <c r="E62" s="16"/>
      <c r="F62" s="15">
        <v>0</v>
      </c>
      <c r="G62" s="15">
        <f t="shared" si="3"/>
        <v>0</v>
      </c>
      <c r="H62" s="16"/>
      <c r="I62" s="15" t="s">
        <v>128</v>
      </c>
      <c r="K62" s="15"/>
    </row>
    <row r="63" spans="1:11" s="14" customFormat="1" x14ac:dyDescent="0.2">
      <c r="A63" s="15">
        <v>4</v>
      </c>
      <c r="B63" s="14" t="s">
        <v>84</v>
      </c>
      <c r="C63" s="15">
        <v>0</v>
      </c>
      <c r="D63" s="15">
        <v>1</v>
      </c>
      <c r="E63" s="16"/>
      <c r="F63" s="15">
        <v>0</v>
      </c>
      <c r="G63" s="15">
        <f t="shared" si="3"/>
        <v>0</v>
      </c>
      <c r="H63" s="16"/>
      <c r="I63" s="15" t="s">
        <v>128</v>
      </c>
      <c r="K63" s="15"/>
    </row>
    <row r="64" spans="1:11" s="14" customFormat="1" x14ac:dyDescent="0.2">
      <c r="A64" s="15">
        <v>13</v>
      </c>
      <c r="B64" s="14" t="s">
        <v>85</v>
      </c>
      <c r="C64" s="15">
        <v>0</v>
      </c>
      <c r="D64" s="15">
        <v>1</v>
      </c>
      <c r="E64" s="16"/>
      <c r="F64" s="15">
        <v>0</v>
      </c>
      <c r="G64" s="15">
        <f t="shared" si="3"/>
        <v>0</v>
      </c>
      <c r="H64" s="16"/>
      <c r="I64" s="15" t="s">
        <v>128</v>
      </c>
      <c r="K64" s="15"/>
    </row>
    <row r="65" spans="1:11" s="14" customFormat="1" x14ac:dyDescent="0.2">
      <c r="A65" s="15">
        <v>6</v>
      </c>
      <c r="B65" s="14" t="s">
        <v>86</v>
      </c>
      <c r="C65" s="15">
        <v>0</v>
      </c>
      <c r="D65" s="15">
        <v>1</v>
      </c>
      <c r="E65" s="16"/>
      <c r="F65" s="15">
        <v>0</v>
      </c>
      <c r="G65" s="15">
        <f t="shared" si="3"/>
        <v>0</v>
      </c>
      <c r="H65" s="16"/>
      <c r="I65" s="15" t="s">
        <v>128</v>
      </c>
      <c r="K65" s="15"/>
    </row>
    <row r="66" spans="1:11" s="14" customFormat="1" x14ac:dyDescent="0.2">
      <c r="A66" s="15">
        <v>11</v>
      </c>
      <c r="B66" s="14" t="s">
        <v>87</v>
      </c>
      <c r="C66" s="15">
        <v>0</v>
      </c>
      <c r="D66" s="15">
        <v>1</v>
      </c>
      <c r="E66" s="16"/>
      <c r="F66" s="15">
        <v>0</v>
      </c>
      <c r="G66" s="15">
        <f t="shared" si="3"/>
        <v>0</v>
      </c>
      <c r="H66" s="16"/>
      <c r="I66" s="15" t="s">
        <v>128</v>
      </c>
      <c r="K66" s="15"/>
    </row>
    <row r="67" spans="1:11" s="14" customFormat="1" x14ac:dyDescent="0.2">
      <c r="A67" s="15">
        <v>3</v>
      </c>
      <c r="B67" s="14" t="s">
        <v>88</v>
      </c>
      <c r="C67" s="15">
        <v>0</v>
      </c>
      <c r="D67" s="15">
        <v>1</v>
      </c>
      <c r="E67" s="16"/>
      <c r="F67" s="15">
        <v>0</v>
      </c>
      <c r="G67" s="15">
        <f t="shared" si="3"/>
        <v>0</v>
      </c>
      <c r="H67" s="16"/>
      <c r="I67" s="15" t="s">
        <v>128</v>
      </c>
      <c r="K67" s="15"/>
    </row>
    <row r="68" spans="1:11" s="14" customFormat="1" x14ac:dyDescent="0.2">
      <c r="A68" s="15">
        <v>14</v>
      </c>
      <c r="B68" s="14" t="s">
        <v>89</v>
      </c>
      <c r="C68" s="15">
        <v>0</v>
      </c>
      <c r="D68" s="15">
        <v>1</v>
      </c>
      <c r="E68" s="16"/>
      <c r="F68" s="15">
        <v>0</v>
      </c>
      <c r="G68" s="15">
        <f t="shared" si="3"/>
        <v>0</v>
      </c>
      <c r="H68" s="16"/>
      <c r="I68" s="15" t="s">
        <v>128</v>
      </c>
      <c r="K68" s="15"/>
    </row>
    <row r="69" spans="1:11" s="14" customFormat="1" x14ac:dyDescent="0.2">
      <c r="A69" s="15">
        <v>7</v>
      </c>
      <c r="B69" s="14" t="s">
        <v>90</v>
      </c>
      <c r="C69" s="15">
        <v>0</v>
      </c>
      <c r="D69" s="15">
        <v>1</v>
      </c>
      <c r="E69" s="16"/>
      <c r="F69" s="15">
        <v>0</v>
      </c>
      <c r="G69" s="15">
        <f t="shared" si="3"/>
        <v>0</v>
      </c>
      <c r="H69" s="16"/>
      <c r="I69" s="15" t="s">
        <v>128</v>
      </c>
      <c r="K69" s="15"/>
    </row>
    <row r="70" spans="1:11" s="14" customFormat="1" x14ac:dyDescent="0.2">
      <c r="A70" s="15">
        <v>10</v>
      </c>
      <c r="B70" s="14" t="s">
        <v>91</v>
      </c>
      <c r="C70" s="15">
        <v>0</v>
      </c>
      <c r="D70" s="15">
        <v>1</v>
      </c>
      <c r="E70" s="16"/>
      <c r="F70" s="15">
        <v>0</v>
      </c>
      <c r="G70" s="15">
        <f t="shared" si="3"/>
        <v>0</v>
      </c>
      <c r="H70" s="16"/>
      <c r="I70" s="15" t="s">
        <v>128</v>
      </c>
      <c r="K70" s="15"/>
    </row>
    <row r="71" spans="1:11" s="14" customFormat="1" x14ac:dyDescent="0.2">
      <c r="A71" s="15">
        <v>2</v>
      </c>
      <c r="B71" s="14" t="s">
        <v>92</v>
      </c>
      <c r="C71" s="15">
        <v>0</v>
      </c>
      <c r="D71" s="15">
        <v>1</v>
      </c>
      <c r="E71" s="16"/>
      <c r="F71" s="15">
        <v>0</v>
      </c>
      <c r="G71" s="15">
        <f t="shared" si="3"/>
        <v>0</v>
      </c>
      <c r="H71" s="16"/>
      <c r="I71" s="15" t="s">
        <v>128</v>
      </c>
      <c r="K71" s="15"/>
    </row>
    <row r="72" spans="1:11" s="14" customFormat="1" x14ac:dyDescent="0.2">
      <c r="A72" s="15">
        <v>15</v>
      </c>
      <c r="B72" s="14" t="s">
        <v>93</v>
      </c>
      <c r="C72" s="15">
        <v>0</v>
      </c>
      <c r="D72" s="15">
        <v>1</v>
      </c>
      <c r="E72" s="16"/>
      <c r="F72" s="15">
        <v>0</v>
      </c>
      <c r="G72" s="15">
        <f t="shared" si="3"/>
        <v>0</v>
      </c>
      <c r="H72" s="16"/>
      <c r="I72" s="15" t="s">
        <v>128</v>
      </c>
      <c r="K72" s="15"/>
    </row>
    <row r="73" spans="1:11" s="10" customFormat="1" x14ac:dyDescent="0.2">
      <c r="A73" s="11"/>
      <c r="B73" s="10" t="s">
        <v>94</v>
      </c>
      <c r="C73" s="9"/>
      <c r="D73" s="9"/>
      <c r="E73" s="12"/>
      <c r="F73" s="9">
        <f>SUM(F57:F72)</f>
        <v>0</v>
      </c>
      <c r="G73" s="9">
        <f>SUM(G57:G72)</f>
        <v>0</v>
      </c>
      <c r="H73" s="12"/>
      <c r="I73" s="9"/>
    </row>
    <row r="74" spans="1:11" ht="12" customHeight="1" thickBot="1" x14ac:dyDescent="0.25">
      <c r="A74" s="6"/>
      <c r="B74" s="7"/>
      <c r="C74" s="8"/>
      <c r="D74" s="8"/>
      <c r="E74" s="12"/>
      <c r="F74" s="8"/>
      <c r="G74" s="8"/>
      <c r="H74" s="12"/>
    </row>
    <row r="75" spans="1:11" x14ac:dyDescent="0.2">
      <c r="B75" s="9" t="s">
        <v>95</v>
      </c>
      <c r="C75" s="5">
        <f>SUM(C3:C74)</f>
        <v>0</v>
      </c>
      <c r="D75" s="5">
        <f>SUM(D3:D74)</f>
        <v>64</v>
      </c>
      <c r="E75" s="12"/>
      <c r="F75" s="5">
        <f>SUM(F3:F74,-F19,-F37,-F55,-F73)</f>
        <v>0</v>
      </c>
      <c r="G75" s="9">
        <f>SUM(G3:G74,-G19,-G37,-G55,-G73)</f>
        <v>0</v>
      </c>
      <c r="H75" s="12"/>
    </row>
    <row r="76" spans="1:11" x14ac:dyDescent="0.2">
      <c r="E76" s="12"/>
      <c r="H76" s="12"/>
    </row>
    <row r="77" spans="1:11" ht="12" customHeight="1" thickBot="1" x14ac:dyDescent="0.25">
      <c r="A77" s="11"/>
      <c r="B77" s="9"/>
      <c r="C77" s="2" t="s">
        <v>19</v>
      </c>
      <c r="D77" s="2" t="s">
        <v>20</v>
      </c>
      <c r="E77" s="12"/>
      <c r="F77" s="2" t="s">
        <v>21</v>
      </c>
      <c r="G77" s="2" t="s">
        <v>23</v>
      </c>
      <c r="H77" s="12"/>
    </row>
  </sheetData>
  <conditionalFormatting sqref="B3:B18">
    <cfRule type="expression" dxfId="15" priority="13" stopIfTrue="1">
      <formula>$D3=0</formula>
    </cfRule>
    <cfRule type="expression" dxfId="14" priority="14" stopIfTrue="1">
      <formula>AND($C3=1,$C$75&gt;0,$C$75&lt;32)</formula>
    </cfRule>
    <cfRule type="expression" dxfId="13" priority="15" stopIfTrue="1">
      <formula>AND($C3=2,$C$75&gt;32,$C$75&lt;48)</formula>
    </cfRule>
    <cfRule type="expression" dxfId="12" priority="16" stopIfTrue="1">
      <formula>AND($C3=3,$C$75&gt;48,$C$75&lt;56)</formula>
    </cfRule>
  </conditionalFormatting>
  <conditionalFormatting sqref="B21:B36">
    <cfRule type="expression" dxfId="11" priority="9" stopIfTrue="1">
      <formula>$D21=0</formula>
    </cfRule>
    <cfRule type="expression" dxfId="10" priority="10" stopIfTrue="1">
      <formula>AND($C21=1,$C$75&gt;0,$C$75&lt;32)</formula>
    </cfRule>
    <cfRule type="expression" dxfId="9" priority="11" stopIfTrue="1">
      <formula>AND($C21=2,$C$75&gt;32,$C$75&lt;48)</formula>
    </cfRule>
    <cfRule type="expression" dxfId="8" priority="12" stopIfTrue="1">
      <formula>AND($C21=3,$C$75&gt;48,$C$75&lt;56)</formula>
    </cfRule>
  </conditionalFormatting>
  <conditionalFormatting sqref="B39:B54">
    <cfRule type="expression" dxfId="7" priority="5" stopIfTrue="1">
      <formula>$D39=0</formula>
    </cfRule>
    <cfRule type="expression" dxfId="6" priority="6" stopIfTrue="1">
      <formula>AND($C39=1,$C$75&gt;0,$C$75&lt;32)</formula>
    </cfRule>
    <cfRule type="expression" dxfId="5" priority="7" stopIfTrue="1">
      <formula>AND($C39=2,$C$75&gt;32,$C$75&lt;48)</formula>
    </cfRule>
    <cfRule type="expression" dxfId="4" priority="8" stopIfTrue="1">
      <formula>AND($C39=3,$C$75&gt;48,$C$75&lt;56)</formula>
    </cfRule>
  </conditionalFormatting>
  <conditionalFormatting sqref="B57:B72">
    <cfRule type="expression" dxfId="3" priority="1" stopIfTrue="1">
      <formula>$D57=0</formula>
    </cfRule>
    <cfRule type="expression" dxfId="2" priority="2" stopIfTrue="1">
      <formula>AND($C57=1,$C$75&gt;0,$C$75&lt;32)</formula>
    </cfRule>
    <cfRule type="expression" dxfId="1" priority="3" stopIfTrue="1">
      <formula>AND($C57=2,$C$75&gt;32,$C$75&lt;48)</formula>
    </cfRule>
    <cfRule type="expression" dxfId="0" priority="4" stopIfTrue="1">
      <formula>AND($C57=3,$C$75&gt;48,$C$75&lt;56)</formula>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93"/>
  <sheetViews>
    <sheetView workbookViewId="0">
      <selection activeCell="B73" sqref="B73"/>
    </sheetView>
  </sheetViews>
  <sheetFormatPr defaultRowHeight="13.2" x14ac:dyDescent="0.25"/>
  <sheetData>
    <row r="1" spans="1:2" x14ac:dyDescent="0.25">
      <c r="A1" s="5">
        <v>1</v>
      </c>
      <c r="B1" s="5">
        <v>6</v>
      </c>
    </row>
    <row r="2" spans="1:2" x14ac:dyDescent="0.25">
      <c r="A2" s="5"/>
      <c r="B2" s="5">
        <v>7</v>
      </c>
    </row>
    <row r="3" spans="1:2" x14ac:dyDescent="0.25">
      <c r="A3" s="5"/>
      <c r="B3" s="5">
        <v>8</v>
      </c>
    </row>
    <row r="4" spans="1:2" x14ac:dyDescent="0.25">
      <c r="A4" s="5">
        <v>2</v>
      </c>
      <c r="B4" s="5">
        <v>10</v>
      </c>
    </row>
    <row r="5" spans="1:2" x14ac:dyDescent="0.25">
      <c r="A5" s="5"/>
      <c r="B5" s="5">
        <v>11</v>
      </c>
    </row>
    <row r="6" spans="1:2" x14ac:dyDescent="0.25">
      <c r="A6" s="5"/>
      <c r="B6" s="5">
        <v>12</v>
      </c>
    </row>
    <row r="7" spans="1:2" x14ac:dyDescent="0.25">
      <c r="A7" s="5">
        <v>3</v>
      </c>
      <c r="B7" s="5">
        <v>14</v>
      </c>
    </row>
    <row r="8" spans="1:2" x14ac:dyDescent="0.25">
      <c r="A8" s="5"/>
      <c r="B8" s="5">
        <v>15</v>
      </c>
    </row>
    <row r="9" spans="1:2" x14ac:dyDescent="0.25">
      <c r="A9" s="5"/>
      <c r="B9" s="5">
        <v>16</v>
      </c>
    </row>
    <row r="10" spans="1:2" x14ac:dyDescent="0.25">
      <c r="A10" s="5">
        <v>4</v>
      </c>
      <c r="B10" s="5">
        <v>18</v>
      </c>
    </row>
    <row r="11" spans="1:2" x14ac:dyDescent="0.25">
      <c r="A11" s="5"/>
      <c r="B11" s="5">
        <v>19</v>
      </c>
    </row>
    <row r="12" spans="1:2" x14ac:dyDescent="0.25">
      <c r="A12" s="5"/>
      <c r="B12" s="5">
        <v>20</v>
      </c>
    </row>
    <row r="13" spans="1:2" x14ac:dyDescent="0.25">
      <c r="A13" s="5">
        <v>5</v>
      </c>
      <c r="B13" s="5">
        <v>22</v>
      </c>
    </row>
    <row r="14" spans="1:2" x14ac:dyDescent="0.25">
      <c r="A14" s="5"/>
      <c r="B14" s="5">
        <v>23</v>
      </c>
    </row>
    <row r="15" spans="1:2" x14ac:dyDescent="0.25">
      <c r="A15" s="5"/>
      <c r="B15" s="5">
        <v>24</v>
      </c>
    </row>
    <row r="16" spans="1:2" x14ac:dyDescent="0.25">
      <c r="A16" s="5">
        <v>6</v>
      </c>
      <c r="B16" s="5">
        <v>26</v>
      </c>
    </row>
    <row r="17" spans="1:2" x14ac:dyDescent="0.25">
      <c r="A17" s="5"/>
      <c r="B17" s="5">
        <v>27</v>
      </c>
    </row>
    <row r="18" spans="1:2" x14ac:dyDescent="0.25">
      <c r="A18" s="5"/>
      <c r="B18" s="5">
        <v>28</v>
      </c>
    </row>
    <row r="19" spans="1:2" x14ac:dyDescent="0.25">
      <c r="A19" s="5">
        <v>7</v>
      </c>
      <c r="B19" s="5">
        <v>30</v>
      </c>
    </row>
    <row r="20" spans="1:2" x14ac:dyDescent="0.25">
      <c r="A20" s="5"/>
      <c r="B20" s="5">
        <v>31</v>
      </c>
    </row>
    <row r="21" spans="1:2" x14ac:dyDescent="0.25">
      <c r="A21" s="5"/>
      <c r="B21" s="5">
        <v>32</v>
      </c>
    </row>
    <row r="22" spans="1:2" x14ac:dyDescent="0.25">
      <c r="A22" s="5">
        <v>8</v>
      </c>
      <c r="B22" s="5">
        <v>34</v>
      </c>
    </row>
    <row r="23" spans="1:2" x14ac:dyDescent="0.25">
      <c r="A23" s="5"/>
      <c r="B23" s="5">
        <v>35</v>
      </c>
    </row>
    <row r="24" spans="1:2" x14ac:dyDescent="0.25">
      <c r="A24" s="5"/>
      <c r="B24" s="5">
        <v>36</v>
      </c>
    </row>
    <row r="25" spans="1:2" x14ac:dyDescent="0.25">
      <c r="A25" s="5">
        <v>9</v>
      </c>
      <c r="B25" s="5">
        <v>38</v>
      </c>
    </row>
    <row r="26" spans="1:2" x14ac:dyDescent="0.25">
      <c r="A26" s="5"/>
      <c r="B26" s="5">
        <v>39</v>
      </c>
    </row>
    <row r="27" spans="1:2" x14ac:dyDescent="0.25">
      <c r="A27" s="5"/>
      <c r="B27" s="5">
        <v>40</v>
      </c>
    </row>
    <row r="28" spans="1:2" x14ac:dyDescent="0.25">
      <c r="A28" s="5">
        <v>10</v>
      </c>
      <c r="B28" s="5">
        <v>42</v>
      </c>
    </row>
    <row r="29" spans="1:2" x14ac:dyDescent="0.25">
      <c r="A29" s="5"/>
      <c r="B29" s="5">
        <v>43</v>
      </c>
    </row>
    <row r="30" spans="1:2" x14ac:dyDescent="0.25">
      <c r="A30" s="5"/>
      <c r="B30" s="5">
        <v>44</v>
      </c>
    </row>
    <row r="31" spans="1:2" x14ac:dyDescent="0.25">
      <c r="A31" s="5">
        <v>11</v>
      </c>
      <c r="B31" s="5">
        <v>46</v>
      </c>
    </row>
    <row r="32" spans="1:2" x14ac:dyDescent="0.25">
      <c r="A32" s="5"/>
      <c r="B32" s="5">
        <v>47</v>
      </c>
    </row>
    <row r="33" spans="1:2" x14ac:dyDescent="0.25">
      <c r="A33" s="5"/>
      <c r="B33" s="5">
        <v>48</v>
      </c>
    </row>
    <row r="34" spans="1:2" x14ac:dyDescent="0.25">
      <c r="A34" s="5">
        <v>12</v>
      </c>
      <c r="B34" s="5">
        <v>50</v>
      </c>
    </row>
    <row r="35" spans="1:2" x14ac:dyDescent="0.25">
      <c r="A35" s="5"/>
      <c r="B35" s="5">
        <v>51</v>
      </c>
    </row>
    <row r="36" spans="1:2" x14ac:dyDescent="0.25">
      <c r="A36" s="5"/>
      <c r="B36" s="5">
        <v>52</v>
      </c>
    </row>
    <row r="37" spans="1:2" x14ac:dyDescent="0.25">
      <c r="A37" s="5">
        <v>13</v>
      </c>
      <c r="B37" s="5">
        <v>54</v>
      </c>
    </row>
    <row r="38" spans="1:2" x14ac:dyDescent="0.25">
      <c r="A38" s="5"/>
      <c r="B38" s="5">
        <v>55</v>
      </c>
    </row>
    <row r="39" spans="1:2" x14ac:dyDescent="0.25">
      <c r="A39" s="5"/>
      <c r="B39" s="5">
        <v>56</v>
      </c>
    </row>
    <row r="40" spans="1:2" x14ac:dyDescent="0.25">
      <c r="A40" s="5">
        <v>14</v>
      </c>
      <c r="B40" s="5">
        <v>58</v>
      </c>
    </row>
    <row r="41" spans="1:2" x14ac:dyDescent="0.25">
      <c r="A41" s="5"/>
      <c r="B41" s="5">
        <v>59</v>
      </c>
    </row>
    <row r="42" spans="1:2" x14ac:dyDescent="0.25">
      <c r="A42" s="5"/>
      <c r="B42" s="5">
        <v>60</v>
      </c>
    </row>
    <row r="43" spans="1:2" x14ac:dyDescent="0.25">
      <c r="A43" s="5">
        <v>15</v>
      </c>
      <c r="B43" s="5">
        <v>62</v>
      </c>
    </row>
    <row r="44" spans="1:2" x14ac:dyDescent="0.25">
      <c r="A44" s="5"/>
      <c r="B44" s="5">
        <v>63</v>
      </c>
    </row>
    <row r="45" spans="1:2" x14ac:dyDescent="0.25">
      <c r="A45" s="5"/>
      <c r="B45" s="5">
        <v>64</v>
      </c>
    </row>
    <row r="46" spans="1:2" x14ac:dyDescent="0.25">
      <c r="A46" s="5">
        <v>16</v>
      </c>
      <c r="B46" s="5">
        <v>66</v>
      </c>
    </row>
    <row r="47" spans="1:2" x14ac:dyDescent="0.25">
      <c r="A47" s="5"/>
      <c r="B47" s="5">
        <v>67</v>
      </c>
    </row>
    <row r="48" spans="1:2" x14ac:dyDescent="0.25">
      <c r="A48" s="5"/>
      <c r="B48" s="5">
        <v>68</v>
      </c>
    </row>
    <row r="49" spans="1:2" x14ac:dyDescent="0.25">
      <c r="A49" s="5">
        <v>17</v>
      </c>
      <c r="B49" s="5">
        <v>70</v>
      </c>
    </row>
    <row r="50" spans="1:2" x14ac:dyDescent="0.25">
      <c r="B50" s="5">
        <v>71</v>
      </c>
    </row>
    <row r="51" spans="1:2" x14ac:dyDescent="0.25">
      <c r="B51" s="5">
        <v>72</v>
      </c>
    </row>
    <row r="52" spans="1:2" x14ac:dyDescent="0.25">
      <c r="A52" s="5">
        <v>18</v>
      </c>
      <c r="B52" s="5">
        <v>74</v>
      </c>
    </row>
    <row r="53" spans="1:2" x14ac:dyDescent="0.25">
      <c r="B53" s="5">
        <v>75</v>
      </c>
    </row>
    <row r="54" spans="1:2" x14ac:dyDescent="0.25">
      <c r="B54" s="5">
        <v>76</v>
      </c>
    </row>
    <row r="55" spans="1:2" x14ac:dyDescent="0.25">
      <c r="A55" s="5">
        <v>19</v>
      </c>
      <c r="B55" s="5">
        <v>78</v>
      </c>
    </row>
    <row r="56" spans="1:2" x14ac:dyDescent="0.25">
      <c r="B56" s="5">
        <v>79</v>
      </c>
    </row>
    <row r="57" spans="1:2" x14ac:dyDescent="0.25">
      <c r="B57" s="5">
        <v>80</v>
      </c>
    </row>
    <row r="58" spans="1:2" x14ac:dyDescent="0.25">
      <c r="A58" s="5">
        <v>20</v>
      </c>
      <c r="B58" s="5">
        <v>82</v>
      </c>
    </row>
    <row r="59" spans="1:2" x14ac:dyDescent="0.25">
      <c r="B59" s="5">
        <v>83</v>
      </c>
    </row>
    <row r="60" spans="1:2" x14ac:dyDescent="0.25">
      <c r="B60" s="5">
        <v>84</v>
      </c>
    </row>
    <row r="61" spans="1:2" x14ac:dyDescent="0.25">
      <c r="A61" s="5">
        <v>21</v>
      </c>
      <c r="B61" s="5">
        <v>86</v>
      </c>
    </row>
    <row r="62" spans="1:2" x14ac:dyDescent="0.25">
      <c r="B62" s="5">
        <v>87</v>
      </c>
    </row>
    <row r="63" spans="1:2" x14ac:dyDescent="0.25">
      <c r="B63" s="5">
        <v>88</v>
      </c>
    </row>
    <row r="64" spans="1:2" x14ac:dyDescent="0.25">
      <c r="A64" s="5">
        <v>22</v>
      </c>
      <c r="B64" s="5">
        <v>90</v>
      </c>
    </row>
    <row r="65" spans="1:2" x14ac:dyDescent="0.25">
      <c r="B65" s="5">
        <v>91</v>
      </c>
    </row>
    <row r="66" spans="1:2" x14ac:dyDescent="0.25">
      <c r="B66" s="5">
        <v>92</v>
      </c>
    </row>
    <row r="67" spans="1:2" x14ac:dyDescent="0.25">
      <c r="A67" s="5">
        <v>23</v>
      </c>
      <c r="B67" s="5">
        <v>94</v>
      </c>
    </row>
    <row r="68" spans="1:2" x14ac:dyDescent="0.25">
      <c r="B68" s="5">
        <v>95</v>
      </c>
    </row>
    <row r="69" spans="1:2" x14ac:dyDescent="0.25">
      <c r="B69" s="5">
        <v>96</v>
      </c>
    </row>
    <row r="70" spans="1:2" x14ac:dyDescent="0.25">
      <c r="A70" s="5">
        <v>24</v>
      </c>
      <c r="B70" s="5">
        <v>98</v>
      </c>
    </row>
    <row r="71" spans="1:2" x14ac:dyDescent="0.25">
      <c r="B71" s="5">
        <v>99</v>
      </c>
    </row>
    <row r="72" spans="1:2" x14ac:dyDescent="0.25">
      <c r="B72" s="5">
        <v>100</v>
      </c>
    </row>
    <row r="73" spans="1:2" x14ac:dyDescent="0.25">
      <c r="A73" s="5">
        <v>25</v>
      </c>
      <c r="B73" s="5">
        <v>102</v>
      </c>
    </row>
    <row r="74" spans="1:2" x14ac:dyDescent="0.25">
      <c r="B74" s="5">
        <v>103</v>
      </c>
    </row>
    <row r="75" spans="1:2" x14ac:dyDescent="0.25">
      <c r="B75" s="5">
        <v>104</v>
      </c>
    </row>
    <row r="76" spans="1:2" x14ac:dyDescent="0.25">
      <c r="A76" s="5">
        <v>26</v>
      </c>
      <c r="B76" s="5">
        <v>106</v>
      </c>
    </row>
    <row r="77" spans="1:2" x14ac:dyDescent="0.25">
      <c r="B77" s="5">
        <v>107</v>
      </c>
    </row>
    <row r="78" spans="1:2" x14ac:dyDescent="0.25">
      <c r="B78" s="5">
        <v>108</v>
      </c>
    </row>
    <row r="79" spans="1:2" x14ac:dyDescent="0.25">
      <c r="A79" s="5">
        <v>27</v>
      </c>
      <c r="B79" s="5">
        <v>110</v>
      </c>
    </row>
    <row r="80" spans="1:2" x14ac:dyDescent="0.25">
      <c r="B80" s="5">
        <v>111</v>
      </c>
    </row>
    <row r="81" spans="1:2" x14ac:dyDescent="0.25">
      <c r="B81" s="5">
        <v>112</v>
      </c>
    </row>
    <row r="82" spans="1:2" x14ac:dyDescent="0.25">
      <c r="A82" s="5">
        <v>28</v>
      </c>
      <c r="B82" s="5">
        <v>114</v>
      </c>
    </row>
    <row r="83" spans="1:2" x14ac:dyDescent="0.25">
      <c r="B83" s="5">
        <v>115</v>
      </c>
    </row>
    <row r="84" spans="1:2" x14ac:dyDescent="0.25">
      <c r="B84" s="5">
        <v>116</v>
      </c>
    </row>
    <row r="85" spans="1:2" x14ac:dyDescent="0.25">
      <c r="A85" s="5">
        <v>29</v>
      </c>
      <c r="B85" s="5">
        <v>118</v>
      </c>
    </row>
    <row r="86" spans="1:2" x14ac:dyDescent="0.25">
      <c r="B86" s="5">
        <v>119</v>
      </c>
    </row>
    <row r="87" spans="1:2" x14ac:dyDescent="0.25">
      <c r="B87" s="5">
        <v>120</v>
      </c>
    </row>
    <row r="88" spans="1:2" x14ac:dyDescent="0.25">
      <c r="A88" s="5">
        <v>30</v>
      </c>
      <c r="B88" s="5">
        <v>122</v>
      </c>
    </row>
    <row r="89" spans="1:2" x14ac:dyDescent="0.25">
      <c r="B89" s="5">
        <v>123</v>
      </c>
    </row>
    <row r="90" spans="1:2" x14ac:dyDescent="0.25">
      <c r="B90" s="5">
        <v>124</v>
      </c>
    </row>
    <row r="91" spans="1:2" x14ac:dyDescent="0.25">
      <c r="B91" s="5"/>
    </row>
    <row r="92" spans="1:2" x14ac:dyDescent="0.25">
      <c r="B92" s="5"/>
    </row>
    <row r="93" spans="1:2" x14ac:dyDescent="0.25">
      <c r="B93" s="5"/>
    </row>
  </sheetData>
  <pageMargins left="0.75" right="0.75" top="1" bottom="1" header="0.5" footer="0.5"/>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8"/>
  <sheetViews>
    <sheetView workbookViewId="0">
      <selection activeCell="I18" sqref="I18"/>
    </sheetView>
  </sheetViews>
  <sheetFormatPr defaultRowHeight="13.2" x14ac:dyDescent="0.25"/>
  <cols>
    <col min="1" max="1" width="5.6640625" customWidth="1"/>
  </cols>
  <sheetData>
    <row r="1" spans="1:2" x14ac:dyDescent="0.25">
      <c r="A1">
        <v>1</v>
      </c>
      <c r="B1" s="29" t="s">
        <v>129</v>
      </c>
    </row>
    <row r="2" spans="1:2" x14ac:dyDescent="0.25">
      <c r="A2">
        <v>2</v>
      </c>
      <c r="B2" s="29" t="s">
        <v>130</v>
      </c>
    </row>
    <row r="3" spans="1:2" x14ac:dyDescent="0.25">
      <c r="A3">
        <v>3</v>
      </c>
      <c r="B3" s="29" t="s">
        <v>131</v>
      </c>
    </row>
    <row r="4" spans="1:2" x14ac:dyDescent="0.25">
      <c r="A4">
        <v>4</v>
      </c>
      <c r="B4" s="29" t="s">
        <v>132</v>
      </c>
    </row>
    <row r="5" spans="1:2" x14ac:dyDescent="0.25">
      <c r="A5">
        <v>5</v>
      </c>
      <c r="B5" s="29" t="s">
        <v>133</v>
      </c>
    </row>
    <row r="6" spans="1:2" x14ac:dyDescent="0.25">
      <c r="A6">
        <v>6</v>
      </c>
      <c r="B6" s="29" t="s">
        <v>134</v>
      </c>
    </row>
    <row r="7" spans="1:2" x14ac:dyDescent="0.25">
      <c r="A7">
        <v>7</v>
      </c>
      <c r="B7" s="29" t="s">
        <v>135</v>
      </c>
    </row>
    <row r="8" spans="1:2" x14ac:dyDescent="0.25">
      <c r="A8">
        <v>8</v>
      </c>
      <c r="B8" s="29" t="s">
        <v>136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Pool</vt:lpstr>
      <vt:lpstr>Blank</vt:lpstr>
      <vt:lpstr>Column Numbers</vt:lpstr>
      <vt:lpstr>Notes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Larry Levy</dc:creator>
  <cp:lastModifiedBy>Michael Santoro</cp:lastModifiedBy>
  <cp:lastPrinted>2008-03-20T16:23:49Z</cp:lastPrinted>
  <dcterms:created xsi:type="dcterms:W3CDTF">1999-03-11T02:54:08Z</dcterms:created>
  <dcterms:modified xsi:type="dcterms:W3CDTF">2026-03-19T16:07:30Z</dcterms:modified>
</cp:coreProperties>
</file>